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Digital Marketing\04_SWOT &amp; PESTLE Analysis for a Startup Idea\"/>
    </mc:Choice>
  </mc:AlternateContent>
  <xr:revisionPtr revIDLastSave="0" documentId="8_{AF22C143-2D92-4A1A-895E-B73DC3B4F96C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ashboard" sheetId="1" r:id="rId1"/>
    <sheet name="Data" sheetId="2" r:id="rId2"/>
    <sheet name="Scorecard" sheetId="3" r:id="rId3"/>
    <sheet name="Calc" sheetId="4" r:id="rId4"/>
  </sheets>
  <definedNames>
    <definedName name="_xlnm._FilterDatabase" localSheetId="1" hidden="1">Data!$A$1:$T$101</definedName>
    <definedName name="_xlnm._FilterDatabase" localSheetId="2" hidden="1">Scorecard!$A$1:$G$101</definedName>
  </definedNames>
  <calcPr calcId="191029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4" l="1"/>
  <c r="B17" i="4"/>
  <c r="O16" i="4"/>
  <c r="B16" i="4"/>
  <c r="O15" i="4"/>
  <c r="B15" i="4"/>
  <c r="O14" i="4"/>
  <c r="B14" i="4"/>
  <c r="O13" i="4"/>
  <c r="B13" i="4"/>
  <c r="O12" i="4"/>
  <c r="B12" i="4"/>
  <c r="O11" i="4"/>
  <c r="B11" i="4"/>
  <c r="O10" i="4"/>
  <c r="B10" i="4"/>
  <c r="O9" i="4"/>
  <c r="B9" i="4"/>
  <c r="O8" i="4"/>
  <c r="B8" i="4"/>
  <c r="O7" i="4"/>
  <c r="H7" i="4"/>
  <c r="B7" i="4"/>
  <c r="O6" i="4"/>
  <c r="H6" i="4"/>
  <c r="B6" i="4"/>
  <c r="O5" i="4"/>
  <c r="H5" i="4"/>
  <c r="B5" i="4"/>
  <c r="O4" i="4"/>
  <c r="H4" i="4"/>
  <c r="E4" i="4"/>
  <c r="B4" i="4"/>
  <c r="O3" i="4"/>
  <c r="H3" i="4"/>
  <c r="E3" i="4"/>
  <c r="B3" i="4"/>
  <c r="U7" i="1" s="1"/>
  <c r="O2" i="4"/>
  <c r="H2" i="4"/>
  <c r="E2" i="4"/>
  <c r="B2" i="4"/>
  <c r="G101" i="3"/>
  <c r="F101" i="3"/>
  <c r="H101" i="3" s="1"/>
  <c r="E101" i="3"/>
  <c r="D101" i="3"/>
  <c r="C101" i="3"/>
  <c r="B101" i="3"/>
  <c r="A101" i="3"/>
  <c r="G100" i="3"/>
  <c r="F100" i="3"/>
  <c r="H100" i="3" s="1"/>
  <c r="E100" i="3"/>
  <c r="D100" i="3"/>
  <c r="C100" i="3"/>
  <c r="B100" i="3"/>
  <c r="A100" i="3"/>
  <c r="G99" i="3"/>
  <c r="F99" i="3"/>
  <c r="H99" i="3" s="1"/>
  <c r="E99" i="3"/>
  <c r="D99" i="3"/>
  <c r="C99" i="3"/>
  <c r="B99" i="3"/>
  <c r="A99" i="3"/>
  <c r="G98" i="3"/>
  <c r="F98" i="3"/>
  <c r="H98" i="3" s="1"/>
  <c r="E98" i="3"/>
  <c r="D98" i="3"/>
  <c r="C98" i="3"/>
  <c r="B98" i="3"/>
  <c r="A98" i="3"/>
  <c r="G97" i="3"/>
  <c r="F97" i="3"/>
  <c r="H97" i="3" s="1"/>
  <c r="E97" i="3"/>
  <c r="D97" i="3"/>
  <c r="C97" i="3"/>
  <c r="B97" i="3"/>
  <c r="A97" i="3"/>
  <c r="G96" i="3"/>
  <c r="F96" i="3"/>
  <c r="H96" i="3" s="1"/>
  <c r="E96" i="3"/>
  <c r="D96" i="3"/>
  <c r="C96" i="3"/>
  <c r="B96" i="3"/>
  <c r="A96" i="3"/>
  <c r="G95" i="3"/>
  <c r="F95" i="3"/>
  <c r="H95" i="3" s="1"/>
  <c r="E95" i="3"/>
  <c r="D95" i="3"/>
  <c r="C95" i="3"/>
  <c r="B95" i="3"/>
  <c r="A95" i="3"/>
  <c r="G94" i="3"/>
  <c r="F94" i="3"/>
  <c r="H94" i="3" s="1"/>
  <c r="E94" i="3"/>
  <c r="D94" i="3"/>
  <c r="C94" i="3"/>
  <c r="B94" i="3"/>
  <c r="A94" i="3"/>
  <c r="G93" i="3"/>
  <c r="F93" i="3"/>
  <c r="H93" i="3" s="1"/>
  <c r="E93" i="3"/>
  <c r="D93" i="3"/>
  <c r="C93" i="3"/>
  <c r="B93" i="3"/>
  <c r="A93" i="3"/>
  <c r="G92" i="3"/>
  <c r="F92" i="3"/>
  <c r="H92" i="3" s="1"/>
  <c r="E92" i="3"/>
  <c r="D92" i="3"/>
  <c r="C92" i="3"/>
  <c r="B92" i="3"/>
  <c r="A92" i="3"/>
  <c r="G91" i="3"/>
  <c r="F91" i="3"/>
  <c r="H91" i="3" s="1"/>
  <c r="E91" i="3"/>
  <c r="D91" i="3"/>
  <c r="C91" i="3"/>
  <c r="B91" i="3"/>
  <c r="A91" i="3"/>
  <c r="G90" i="3"/>
  <c r="F90" i="3"/>
  <c r="H90" i="3" s="1"/>
  <c r="E90" i="3"/>
  <c r="D90" i="3"/>
  <c r="C90" i="3"/>
  <c r="B90" i="3"/>
  <c r="A90" i="3"/>
  <c r="G89" i="3"/>
  <c r="F89" i="3"/>
  <c r="H89" i="3" s="1"/>
  <c r="E89" i="3"/>
  <c r="D89" i="3"/>
  <c r="C89" i="3"/>
  <c r="B89" i="3"/>
  <c r="A89" i="3"/>
  <c r="G88" i="3"/>
  <c r="F88" i="3"/>
  <c r="H88" i="3" s="1"/>
  <c r="E88" i="3"/>
  <c r="D88" i="3"/>
  <c r="C88" i="3"/>
  <c r="B88" i="3"/>
  <c r="A88" i="3"/>
  <c r="G87" i="3"/>
  <c r="F87" i="3"/>
  <c r="H87" i="3" s="1"/>
  <c r="E87" i="3"/>
  <c r="D87" i="3"/>
  <c r="C87" i="3"/>
  <c r="B87" i="3"/>
  <c r="A87" i="3"/>
  <c r="G86" i="3"/>
  <c r="F86" i="3"/>
  <c r="H86" i="3" s="1"/>
  <c r="E86" i="3"/>
  <c r="D86" i="3"/>
  <c r="C86" i="3"/>
  <c r="B86" i="3"/>
  <c r="A86" i="3"/>
  <c r="G85" i="3"/>
  <c r="F85" i="3"/>
  <c r="H85" i="3" s="1"/>
  <c r="E85" i="3"/>
  <c r="D85" i="3"/>
  <c r="C85" i="3"/>
  <c r="B85" i="3"/>
  <c r="A85" i="3"/>
  <c r="G84" i="3"/>
  <c r="F84" i="3"/>
  <c r="H84" i="3" s="1"/>
  <c r="E84" i="3"/>
  <c r="D84" i="3"/>
  <c r="C84" i="3"/>
  <c r="B84" i="3"/>
  <c r="A84" i="3"/>
  <c r="G83" i="3"/>
  <c r="F83" i="3"/>
  <c r="H83" i="3" s="1"/>
  <c r="E83" i="3"/>
  <c r="D83" i="3"/>
  <c r="C83" i="3"/>
  <c r="B83" i="3"/>
  <c r="A83" i="3"/>
  <c r="G82" i="3"/>
  <c r="F82" i="3"/>
  <c r="H82" i="3" s="1"/>
  <c r="E82" i="3"/>
  <c r="D82" i="3"/>
  <c r="C82" i="3"/>
  <c r="B82" i="3"/>
  <c r="A82" i="3"/>
  <c r="G81" i="3"/>
  <c r="F81" i="3"/>
  <c r="H81" i="3" s="1"/>
  <c r="E81" i="3"/>
  <c r="D81" i="3"/>
  <c r="C81" i="3"/>
  <c r="B81" i="3"/>
  <c r="A81" i="3"/>
  <c r="G80" i="3"/>
  <c r="F80" i="3"/>
  <c r="H80" i="3" s="1"/>
  <c r="E80" i="3"/>
  <c r="D80" i="3"/>
  <c r="C80" i="3"/>
  <c r="B80" i="3"/>
  <c r="A80" i="3"/>
  <c r="G79" i="3"/>
  <c r="F79" i="3"/>
  <c r="H79" i="3" s="1"/>
  <c r="E79" i="3"/>
  <c r="D79" i="3"/>
  <c r="C79" i="3"/>
  <c r="B79" i="3"/>
  <c r="A79" i="3"/>
  <c r="G78" i="3"/>
  <c r="F78" i="3"/>
  <c r="H78" i="3" s="1"/>
  <c r="E78" i="3"/>
  <c r="D78" i="3"/>
  <c r="C78" i="3"/>
  <c r="B78" i="3"/>
  <c r="A78" i="3"/>
  <c r="G77" i="3"/>
  <c r="F77" i="3"/>
  <c r="H77" i="3" s="1"/>
  <c r="E77" i="3"/>
  <c r="D77" i="3"/>
  <c r="C77" i="3"/>
  <c r="B77" i="3"/>
  <c r="A77" i="3"/>
  <c r="G76" i="3"/>
  <c r="F76" i="3"/>
  <c r="H76" i="3" s="1"/>
  <c r="E76" i="3"/>
  <c r="D76" i="3"/>
  <c r="C76" i="3"/>
  <c r="B76" i="3"/>
  <c r="A76" i="3"/>
  <c r="G75" i="3"/>
  <c r="F75" i="3"/>
  <c r="H75" i="3" s="1"/>
  <c r="E75" i="3"/>
  <c r="D75" i="3"/>
  <c r="C75" i="3"/>
  <c r="B75" i="3"/>
  <c r="A75" i="3"/>
  <c r="G74" i="3"/>
  <c r="F74" i="3"/>
  <c r="H74" i="3" s="1"/>
  <c r="E74" i="3"/>
  <c r="D74" i="3"/>
  <c r="C74" i="3"/>
  <c r="B74" i="3"/>
  <c r="A74" i="3"/>
  <c r="G73" i="3"/>
  <c r="F73" i="3"/>
  <c r="H73" i="3" s="1"/>
  <c r="E73" i="3"/>
  <c r="D73" i="3"/>
  <c r="C73" i="3"/>
  <c r="B73" i="3"/>
  <c r="A73" i="3"/>
  <c r="G72" i="3"/>
  <c r="F72" i="3"/>
  <c r="H72" i="3" s="1"/>
  <c r="E72" i="3"/>
  <c r="D72" i="3"/>
  <c r="C72" i="3"/>
  <c r="B72" i="3"/>
  <c r="A72" i="3"/>
  <c r="G71" i="3"/>
  <c r="E71" i="3"/>
  <c r="F71" i="3" s="1"/>
  <c r="H71" i="3" s="1"/>
  <c r="D71" i="3"/>
  <c r="C71" i="3"/>
  <c r="B71" i="3"/>
  <c r="A71" i="3"/>
  <c r="G70" i="3"/>
  <c r="E70" i="3"/>
  <c r="F70" i="3" s="1"/>
  <c r="H70" i="3" s="1"/>
  <c r="D70" i="3"/>
  <c r="C70" i="3"/>
  <c r="B70" i="3"/>
  <c r="A70" i="3"/>
  <c r="G69" i="3"/>
  <c r="E69" i="3"/>
  <c r="F69" i="3" s="1"/>
  <c r="H69" i="3" s="1"/>
  <c r="D69" i="3"/>
  <c r="C69" i="3"/>
  <c r="B69" i="3"/>
  <c r="A69" i="3"/>
  <c r="G68" i="3"/>
  <c r="F68" i="3"/>
  <c r="H68" i="3" s="1"/>
  <c r="E68" i="3"/>
  <c r="D68" i="3"/>
  <c r="C68" i="3"/>
  <c r="B68" i="3"/>
  <c r="A68" i="3"/>
  <c r="G67" i="3"/>
  <c r="E67" i="3"/>
  <c r="F67" i="3" s="1"/>
  <c r="H67" i="3" s="1"/>
  <c r="D67" i="3"/>
  <c r="C67" i="3"/>
  <c r="B67" i="3"/>
  <c r="A67" i="3"/>
  <c r="G66" i="3"/>
  <c r="E66" i="3"/>
  <c r="F66" i="3" s="1"/>
  <c r="H66" i="3" s="1"/>
  <c r="D66" i="3"/>
  <c r="C66" i="3"/>
  <c r="B66" i="3"/>
  <c r="A66" i="3"/>
  <c r="G65" i="3"/>
  <c r="F65" i="3"/>
  <c r="H65" i="3" s="1"/>
  <c r="E65" i="3"/>
  <c r="D65" i="3"/>
  <c r="C65" i="3"/>
  <c r="B65" i="3"/>
  <c r="A65" i="3"/>
  <c r="G64" i="3"/>
  <c r="F64" i="3"/>
  <c r="H64" i="3" s="1"/>
  <c r="E64" i="3"/>
  <c r="D64" i="3"/>
  <c r="C64" i="3"/>
  <c r="B64" i="3"/>
  <c r="A64" i="3"/>
  <c r="G63" i="3"/>
  <c r="E63" i="3"/>
  <c r="F63" i="3" s="1"/>
  <c r="H63" i="3" s="1"/>
  <c r="D63" i="3"/>
  <c r="C63" i="3"/>
  <c r="B63" i="3"/>
  <c r="A63" i="3"/>
  <c r="G62" i="3"/>
  <c r="E62" i="3"/>
  <c r="F62" i="3" s="1"/>
  <c r="H62" i="3" s="1"/>
  <c r="D62" i="3"/>
  <c r="C62" i="3"/>
  <c r="B62" i="3"/>
  <c r="A62" i="3"/>
  <c r="G61" i="3"/>
  <c r="F61" i="3"/>
  <c r="H61" i="3" s="1"/>
  <c r="E61" i="3"/>
  <c r="D61" i="3"/>
  <c r="C61" i="3"/>
  <c r="B61" i="3"/>
  <c r="A61" i="3"/>
  <c r="G60" i="3"/>
  <c r="F60" i="3"/>
  <c r="H60" i="3" s="1"/>
  <c r="E60" i="3"/>
  <c r="D60" i="3"/>
  <c r="C60" i="3"/>
  <c r="B60" i="3"/>
  <c r="A60" i="3"/>
  <c r="G59" i="3"/>
  <c r="E59" i="3"/>
  <c r="F59" i="3" s="1"/>
  <c r="H59" i="3" s="1"/>
  <c r="D59" i="3"/>
  <c r="C59" i="3"/>
  <c r="B59" i="3"/>
  <c r="A59" i="3"/>
  <c r="G58" i="3"/>
  <c r="E58" i="3"/>
  <c r="F58" i="3" s="1"/>
  <c r="H58" i="3" s="1"/>
  <c r="D58" i="3"/>
  <c r="C58" i="3"/>
  <c r="B58" i="3"/>
  <c r="A58" i="3"/>
  <c r="G57" i="3"/>
  <c r="F57" i="3"/>
  <c r="H57" i="3" s="1"/>
  <c r="E57" i="3"/>
  <c r="D57" i="3"/>
  <c r="C57" i="3"/>
  <c r="B57" i="3"/>
  <c r="A57" i="3"/>
  <c r="G56" i="3"/>
  <c r="F56" i="3"/>
  <c r="H56" i="3" s="1"/>
  <c r="E56" i="3"/>
  <c r="D56" i="3"/>
  <c r="C56" i="3"/>
  <c r="B56" i="3"/>
  <c r="A56" i="3"/>
  <c r="G55" i="3"/>
  <c r="E55" i="3"/>
  <c r="F55" i="3" s="1"/>
  <c r="H55" i="3" s="1"/>
  <c r="D55" i="3"/>
  <c r="C55" i="3"/>
  <c r="B55" i="3"/>
  <c r="A55" i="3"/>
  <c r="G54" i="3"/>
  <c r="E54" i="3"/>
  <c r="F54" i="3" s="1"/>
  <c r="H54" i="3" s="1"/>
  <c r="D54" i="3"/>
  <c r="C54" i="3"/>
  <c r="B54" i="3"/>
  <c r="A54" i="3"/>
  <c r="G53" i="3"/>
  <c r="F53" i="3"/>
  <c r="H53" i="3" s="1"/>
  <c r="E53" i="3"/>
  <c r="D53" i="3"/>
  <c r="C53" i="3"/>
  <c r="B53" i="3"/>
  <c r="A53" i="3"/>
  <c r="G52" i="3"/>
  <c r="F52" i="3"/>
  <c r="H52" i="3" s="1"/>
  <c r="E52" i="3"/>
  <c r="D52" i="3"/>
  <c r="C52" i="3"/>
  <c r="B52" i="3"/>
  <c r="A52" i="3"/>
  <c r="G51" i="3"/>
  <c r="E51" i="3"/>
  <c r="F51" i="3" s="1"/>
  <c r="H51" i="3" s="1"/>
  <c r="D51" i="3"/>
  <c r="C51" i="3"/>
  <c r="B51" i="3"/>
  <c r="A51" i="3"/>
  <c r="G50" i="3"/>
  <c r="E50" i="3"/>
  <c r="F50" i="3" s="1"/>
  <c r="H50" i="3" s="1"/>
  <c r="D50" i="3"/>
  <c r="C50" i="3"/>
  <c r="B50" i="3"/>
  <c r="A50" i="3"/>
  <c r="G49" i="3"/>
  <c r="F49" i="3"/>
  <c r="H49" i="3" s="1"/>
  <c r="E49" i="3"/>
  <c r="D49" i="3"/>
  <c r="C49" i="3"/>
  <c r="B49" i="3"/>
  <c r="A49" i="3"/>
  <c r="G48" i="3"/>
  <c r="F48" i="3"/>
  <c r="H48" i="3" s="1"/>
  <c r="E48" i="3"/>
  <c r="D48" i="3"/>
  <c r="C48" i="3"/>
  <c r="B48" i="3"/>
  <c r="A48" i="3"/>
  <c r="G47" i="3"/>
  <c r="E47" i="3"/>
  <c r="F47" i="3" s="1"/>
  <c r="H47" i="3" s="1"/>
  <c r="D47" i="3"/>
  <c r="C47" i="3"/>
  <c r="B47" i="3"/>
  <c r="A47" i="3"/>
  <c r="G46" i="3"/>
  <c r="E46" i="3"/>
  <c r="F46" i="3" s="1"/>
  <c r="H46" i="3" s="1"/>
  <c r="D46" i="3"/>
  <c r="C46" i="3"/>
  <c r="B46" i="3"/>
  <c r="A46" i="3"/>
  <c r="G45" i="3"/>
  <c r="F45" i="3"/>
  <c r="H45" i="3" s="1"/>
  <c r="E45" i="3"/>
  <c r="D45" i="3"/>
  <c r="C45" i="3"/>
  <c r="B45" i="3"/>
  <c r="A45" i="3"/>
  <c r="G44" i="3"/>
  <c r="F44" i="3"/>
  <c r="H44" i="3" s="1"/>
  <c r="E44" i="3"/>
  <c r="D44" i="3"/>
  <c r="C44" i="3"/>
  <c r="B44" i="3"/>
  <c r="A44" i="3"/>
  <c r="G43" i="3"/>
  <c r="E43" i="3"/>
  <c r="F43" i="3" s="1"/>
  <c r="H43" i="3" s="1"/>
  <c r="D43" i="3"/>
  <c r="C43" i="3"/>
  <c r="B43" i="3"/>
  <c r="A43" i="3"/>
  <c r="G42" i="3"/>
  <c r="E42" i="3"/>
  <c r="F42" i="3" s="1"/>
  <c r="H42" i="3" s="1"/>
  <c r="D42" i="3"/>
  <c r="C42" i="3"/>
  <c r="B42" i="3"/>
  <c r="A42" i="3"/>
  <c r="G41" i="3"/>
  <c r="F41" i="3"/>
  <c r="H41" i="3" s="1"/>
  <c r="E41" i="3"/>
  <c r="D41" i="3"/>
  <c r="C41" i="3"/>
  <c r="B41" i="3"/>
  <c r="A41" i="3"/>
  <c r="G40" i="3"/>
  <c r="F40" i="3"/>
  <c r="H40" i="3" s="1"/>
  <c r="E40" i="3"/>
  <c r="D40" i="3"/>
  <c r="C40" i="3"/>
  <c r="B40" i="3"/>
  <c r="A40" i="3"/>
  <c r="G39" i="3"/>
  <c r="E39" i="3"/>
  <c r="F39" i="3" s="1"/>
  <c r="H39" i="3" s="1"/>
  <c r="D39" i="3"/>
  <c r="C39" i="3"/>
  <c r="B39" i="3"/>
  <c r="A39" i="3"/>
  <c r="G38" i="3"/>
  <c r="E38" i="3"/>
  <c r="F38" i="3" s="1"/>
  <c r="H38" i="3" s="1"/>
  <c r="D38" i="3"/>
  <c r="C38" i="3"/>
  <c r="B38" i="3"/>
  <c r="A38" i="3"/>
  <c r="G37" i="3"/>
  <c r="F37" i="3"/>
  <c r="H37" i="3" s="1"/>
  <c r="E37" i="3"/>
  <c r="D37" i="3"/>
  <c r="C37" i="3"/>
  <c r="B37" i="3"/>
  <c r="A37" i="3"/>
  <c r="G36" i="3"/>
  <c r="F36" i="3"/>
  <c r="H36" i="3" s="1"/>
  <c r="E36" i="3"/>
  <c r="D36" i="3"/>
  <c r="C36" i="3"/>
  <c r="B36" i="3"/>
  <c r="A36" i="3"/>
  <c r="G35" i="3"/>
  <c r="E35" i="3"/>
  <c r="F35" i="3" s="1"/>
  <c r="H35" i="3" s="1"/>
  <c r="D35" i="3"/>
  <c r="C35" i="3"/>
  <c r="B35" i="3"/>
  <c r="A35" i="3"/>
  <c r="G34" i="3"/>
  <c r="E34" i="3"/>
  <c r="F34" i="3" s="1"/>
  <c r="H34" i="3" s="1"/>
  <c r="D34" i="3"/>
  <c r="C34" i="3"/>
  <c r="B34" i="3"/>
  <c r="A34" i="3"/>
  <c r="G33" i="3"/>
  <c r="F33" i="3"/>
  <c r="H33" i="3" s="1"/>
  <c r="E33" i="3"/>
  <c r="D33" i="3"/>
  <c r="C33" i="3"/>
  <c r="B33" i="3"/>
  <c r="A33" i="3"/>
  <c r="G32" i="3"/>
  <c r="F32" i="3"/>
  <c r="H32" i="3" s="1"/>
  <c r="E32" i="3"/>
  <c r="D32" i="3"/>
  <c r="C32" i="3"/>
  <c r="B32" i="3"/>
  <c r="A32" i="3"/>
  <c r="G31" i="3"/>
  <c r="E31" i="3"/>
  <c r="F31" i="3" s="1"/>
  <c r="H31" i="3" s="1"/>
  <c r="D31" i="3"/>
  <c r="C31" i="3"/>
  <c r="B31" i="3"/>
  <c r="A31" i="3"/>
  <c r="G30" i="3"/>
  <c r="E30" i="3"/>
  <c r="F30" i="3" s="1"/>
  <c r="H30" i="3" s="1"/>
  <c r="D30" i="3"/>
  <c r="C30" i="3"/>
  <c r="B30" i="3"/>
  <c r="A30" i="3"/>
  <c r="G29" i="3"/>
  <c r="F29" i="3"/>
  <c r="H29" i="3" s="1"/>
  <c r="E29" i="3"/>
  <c r="D29" i="3"/>
  <c r="C29" i="3"/>
  <c r="B29" i="3"/>
  <c r="A29" i="3"/>
  <c r="G28" i="3"/>
  <c r="F28" i="3"/>
  <c r="H28" i="3" s="1"/>
  <c r="E28" i="3"/>
  <c r="D28" i="3"/>
  <c r="C28" i="3"/>
  <c r="B28" i="3"/>
  <c r="A28" i="3"/>
  <c r="G27" i="3"/>
  <c r="E27" i="3"/>
  <c r="F27" i="3" s="1"/>
  <c r="H27" i="3" s="1"/>
  <c r="D27" i="3"/>
  <c r="C27" i="3"/>
  <c r="B27" i="3"/>
  <c r="A27" i="3"/>
  <c r="G26" i="3"/>
  <c r="E26" i="3"/>
  <c r="F26" i="3" s="1"/>
  <c r="H26" i="3" s="1"/>
  <c r="D26" i="3"/>
  <c r="C26" i="3"/>
  <c r="B26" i="3"/>
  <c r="A26" i="3"/>
  <c r="G25" i="3"/>
  <c r="F25" i="3"/>
  <c r="H25" i="3" s="1"/>
  <c r="E25" i="3"/>
  <c r="D25" i="3"/>
  <c r="C25" i="3"/>
  <c r="B25" i="3"/>
  <c r="A25" i="3"/>
  <c r="G24" i="3"/>
  <c r="F24" i="3"/>
  <c r="H24" i="3" s="1"/>
  <c r="E24" i="3"/>
  <c r="D24" i="3"/>
  <c r="C24" i="3"/>
  <c r="B24" i="3"/>
  <c r="A24" i="3"/>
  <c r="G23" i="3"/>
  <c r="F23" i="3"/>
  <c r="H23" i="3" s="1"/>
  <c r="E23" i="3"/>
  <c r="D23" i="3"/>
  <c r="C23" i="3"/>
  <c r="B23" i="3"/>
  <c r="A23" i="3"/>
  <c r="G22" i="3"/>
  <c r="F22" i="3"/>
  <c r="H22" i="3" s="1"/>
  <c r="E22" i="3"/>
  <c r="D22" i="3"/>
  <c r="C22" i="3"/>
  <c r="B22" i="3"/>
  <c r="A22" i="3"/>
  <c r="G21" i="3"/>
  <c r="F21" i="3"/>
  <c r="H21" i="3" s="1"/>
  <c r="E21" i="3"/>
  <c r="D21" i="3"/>
  <c r="C21" i="3"/>
  <c r="B21" i="3"/>
  <c r="A21" i="3"/>
  <c r="G20" i="3"/>
  <c r="F20" i="3"/>
  <c r="H20" i="3" s="1"/>
  <c r="E20" i="3"/>
  <c r="D20" i="3"/>
  <c r="C20" i="3"/>
  <c r="B20" i="3"/>
  <c r="A20" i="3"/>
  <c r="G19" i="3"/>
  <c r="F19" i="3"/>
  <c r="H19" i="3" s="1"/>
  <c r="E19" i="3"/>
  <c r="D19" i="3"/>
  <c r="C19" i="3"/>
  <c r="B19" i="3"/>
  <c r="A19" i="3"/>
  <c r="G18" i="3"/>
  <c r="F18" i="3"/>
  <c r="H18" i="3" s="1"/>
  <c r="E18" i="3"/>
  <c r="D18" i="3"/>
  <c r="C18" i="3"/>
  <c r="B18" i="3"/>
  <c r="A18" i="3"/>
  <c r="G17" i="3"/>
  <c r="F17" i="3"/>
  <c r="H17" i="3" s="1"/>
  <c r="E17" i="3"/>
  <c r="D17" i="3"/>
  <c r="C17" i="3"/>
  <c r="B17" i="3"/>
  <c r="A17" i="3"/>
  <c r="G16" i="3"/>
  <c r="F16" i="3"/>
  <c r="H16" i="3" s="1"/>
  <c r="E16" i="3"/>
  <c r="D16" i="3"/>
  <c r="C16" i="3"/>
  <c r="B16" i="3"/>
  <c r="A16" i="3"/>
  <c r="G15" i="3"/>
  <c r="F15" i="3"/>
  <c r="H15" i="3" s="1"/>
  <c r="E15" i="3"/>
  <c r="D15" i="3"/>
  <c r="C15" i="3"/>
  <c r="B15" i="3"/>
  <c r="A15" i="3"/>
  <c r="G14" i="3"/>
  <c r="F14" i="3"/>
  <c r="H14" i="3" s="1"/>
  <c r="E14" i="3"/>
  <c r="D14" i="3"/>
  <c r="C14" i="3"/>
  <c r="B14" i="3"/>
  <c r="A14" i="3"/>
  <c r="G13" i="3"/>
  <c r="F13" i="3"/>
  <c r="H13" i="3" s="1"/>
  <c r="E13" i="3"/>
  <c r="D13" i="3"/>
  <c r="C13" i="3"/>
  <c r="B13" i="3"/>
  <c r="A13" i="3"/>
  <c r="G12" i="3"/>
  <c r="F12" i="3"/>
  <c r="H12" i="3" s="1"/>
  <c r="E12" i="3"/>
  <c r="D12" i="3"/>
  <c r="C12" i="3"/>
  <c r="B12" i="3"/>
  <c r="A12" i="3"/>
  <c r="G11" i="3"/>
  <c r="F11" i="3"/>
  <c r="H11" i="3" s="1"/>
  <c r="E11" i="3"/>
  <c r="D11" i="3"/>
  <c r="C11" i="3"/>
  <c r="B11" i="3"/>
  <c r="A11" i="3"/>
  <c r="G10" i="3"/>
  <c r="F10" i="3"/>
  <c r="H10" i="3" s="1"/>
  <c r="E10" i="3"/>
  <c r="D10" i="3"/>
  <c r="C10" i="3"/>
  <c r="B10" i="3"/>
  <c r="A10" i="3"/>
  <c r="G9" i="3"/>
  <c r="F9" i="3"/>
  <c r="H9" i="3" s="1"/>
  <c r="E9" i="3"/>
  <c r="D9" i="3"/>
  <c r="C9" i="3"/>
  <c r="B9" i="3"/>
  <c r="A9" i="3"/>
  <c r="G8" i="3"/>
  <c r="F8" i="3"/>
  <c r="H8" i="3" s="1"/>
  <c r="E8" i="3"/>
  <c r="D8" i="3"/>
  <c r="C8" i="3"/>
  <c r="B8" i="3"/>
  <c r="A8" i="3"/>
  <c r="G7" i="3"/>
  <c r="F7" i="3"/>
  <c r="H7" i="3" s="1"/>
  <c r="E7" i="3"/>
  <c r="D7" i="3"/>
  <c r="C7" i="3"/>
  <c r="B7" i="3"/>
  <c r="A7" i="3"/>
  <c r="G6" i="3"/>
  <c r="F6" i="3"/>
  <c r="H6" i="3" s="1"/>
  <c r="E6" i="3"/>
  <c r="D6" i="3"/>
  <c r="C6" i="3"/>
  <c r="B6" i="3"/>
  <c r="A6" i="3"/>
  <c r="G5" i="3"/>
  <c r="F5" i="3"/>
  <c r="H5" i="3" s="1"/>
  <c r="E5" i="3"/>
  <c r="D5" i="3"/>
  <c r="C5" i="3"/>
  <c r="B5" i="3"/>
  <c r="A5" i="3"/>
  <c r="G4" i="3"/>
  <c r="F4" i="3"/>
  <c r="H4" i="3" s="1"/>
  <c r="E4" i="3"/>
  <c r="D4" i="3"/>
  <c r="C4" i="3"/>
  <c r="B4" i="3"/>
  <c r="A4" i="3"/>
  <c r="G3" i="3"/>
  <c r="F3" i="3"/>
  <c r="H3" i="3" s="1"/>
  <c r="E3" i="3"/>
  <c r="D3" i="3"/>
  <c r="C3" i="3"/>
  <c r="B3" i="3"/>
  <c r="A3" i="3"/>
  <c r="G2" i="3"/>
  <c r="F2" i="3"/>
  <c r="E2" i="3"/>
  <c r="D2" i="3"/>
  <c r="C2" i="3"/>
  <c r="B2" i="3"/>
  <c r="A2" i="3"/>
  <c r="Q7" i="1"/>
  <c r="M7" i="1"/>
  <c r="E7" i="1"/>
  <c r="A7" i="1"/>
  <c r="I7" i="1" l="1"/>
  <c r="H2" i="3"/>
  <c r="L4" i="4" l="1"/>
  <c r="K4" i="4" s="1"/>
  <c r="L2" i="4"/>
  <c r="K2" i="4" s="1"/>
  <c r="L11" i="4"/>
  <c r="K11" i="4" s="1"/>
  <c r="L10" i="4"/>
  <c r="K10" i="4" s="1"/>
  <c r="L9" i="4"/>
  <c r="K9" i="4" s="1"/>
  <c r="L8" i="4"/>
  <c r="K8" i="4" s="1"/>
  <c r="L7" i="4"/>
  <c r="K7" i="4" s="1"/>
  <c r="L6" i="4"/>
  <c r="K6" i="4" s="1"/>
  <c r="L5" i="4"/>
  <c r="K5" i="4" s="1"/>
  <c r="L3" i="4"/>
  <c r="K3" i="4" s="1"/>
</calcChain>
</file>

<file path=xl/sharedStrings.xml><?xml version="1.0" encoding="utf-8"?>
<sst xmlns="http://schemas.openxmlformats.org/spreadsheetml/2006/main" count="1195" uniqueCount="452">
  <si>
    <t>Startup SWOT &amp; PESTLE Strategic Analysis Dashboard</t>
  </si>
  <si>
    <t>Strategic feasibility, risk and growth-potential evaluation across a 100-startup case-study database  |  Prepared by Finance Veda Research</t>
  </si>
  <si>
    <t>Total Startups Analyzed</t>
  </si>
  <si>
    <t>Avg. Growth Potential Score</t>
  </si>
  <si>
    <t>Avg. Investment Attractiveness</t>
  </si>
  <si>
    <t>High-Risk Startups</t>
  </si>
  <si>
    <t>Avg. Market Size ($M)</t>
  </si>
  <si>
    <t>Top Industry by Count</t>
  </si>
  <si>
    <t>Strategic Insights &amp; Recommendations</t>
  </si>
  <si>
    <t>1.  Technological and Economic factors carry the highest average PESTLE impact, signalling that tech-enabled, cost-efficient business models are best positioned for near-term growth.</t>
  </si>
  <si>
    <t>2.  25% of startups in the database fall into the High-Risk band, concentrated in sectors with elevated competitive intensity and legal/regulatory exposure (FinTech, HealthTech, InsurTech).</t>
  </si>
  <si>
    <t>3.  EdTech and Logistics &amp; Supply Chain are the most represented industries, indicating strong founder and investor interest, but also signalling rising competitive saturation.</t>
  </si>
  <si>
    <t>4.  Startups combining a high Growth Potential Score with a low-to-moderate Competitive Intensity Score (lower-right region empty in the strategic map) represent the most attractive whitespace for new entrants.</t>
  </si>
  <si>
    <t>5.  The top 10 startups by Investment Attractiveness Score skew toward Cybersecurity, SaaS, HealthTech and FinTech - sectors with strong technological moats and recurring revenue.</t>
  </si>
  <si>
    <t>6.  Environmental impact scores remain the lowest on average, suggesting most startups in the database are not yet building sustainability into their core proposition - a forward-looking differentiation opportunity.</t>
  </si>
  <si>
    <t>Startup ID</t>
  </si>
  <si>
    <t>Startup Name</t>
  </si>
  <si>
    <t>Industry</t>
  </si>
  <si>
    <t>Product/Service</t>
  </si>
  <si>
    <t>Target Customer Segment</t>
  </si>
  <si>
    <t>Region</t>
  </si>
  <si>
    <t>Market Size Estimate ($M)</t>
  </si>
  <si>
    <t>Startup Strength</t>
  </si>
  <si>
    <t>Startup Weakness</t>
  </si>
  <si>
    <t>Market Opportunity</t>
  </si>
  <si>
    <t>Market Threat</t>
  </si>
  <si>
    <t>Political Impact Score</t>
  </si>
  <si>
    <t>Economic Impact Score</t>
  </si>
  <si>
    <t>Social Impact Score</t>
  </si>
  <si>
    <t>Technological Impact Score</t>
  </si>
  <si>
    <t>Legal Impact Score</t>
  </si>
  <si>
    <t>Environmental Impact Score</t>
  </si>
  <si>
    <t>Competitive Intensity Score</t>
  </si>
  <si>
    <t>Risk Level</t>
  </si>
  <si>
    <t>Growth Potential Score</t>
  </si>
  <si>
    <t>ST001</t>
  </si>
  <si>
    <t>FreshBite Solutions</t>
  </si>
  <si>
    <t>FoodTech</t>
  </si>
  <si>
    <t>Restaurant inventory &amp; POS SaaS</t>
  </si>
  <si>
    <t>Urban Professionals</t>
  </si>
  <si>
    <t>Bengaluru</t>
  </si>
  <si>
    <t>Strategic partnerships with established players</t>
  </si>
  <si>
    <t>High customer churn beyond the trial period</t>
  </si>
  <si>
    <t>Growing disposable income among target segment</t>
  </si>
  <si>
    <t>Economic slowdown impacting discretionary spending</t>
  </si>
  <si>
    <t>Medium</t>
  </si>
  <si>
    <t>ST002</t>
  </si>
  <si>
    <t>BrightPath Labs</t>
  </si>
  <si>
    <t>EdTech</t>
  </si>
  <si>
    <t>Live doubt-solving tutoring app</t>
  </si>
  <si>
    <t>Tier-2/3 City Students</t>
  </si>
  <si>
    <t>Southeast Asia</t>
  </si>
  <si>
    <t>Strong data network effects improving with scale</t>
  </si>
  <si>
    <t>Limited working capital for aggressive scaling</t>
  </si>
  <si>
    <t>New regulatory framework opening up the category</t>
  </si>
  <si>
    <t>Regulatory uncertainty around the sector's framework</t>
  </si>
  <si>
    <t>ST003</t>
  </si>
  <si>
    <t>NutriNest Labs</t>
  </si>
  <si>
    <t>Organic food delivery platform</t>
  </si>
  <si>
    <t>Health-conscious Consumers</t>
  </si>
  <si>
    <t>Favourable government incentives for the sector</t>
  </si>
  <si>
    <t>Rapid technology obsolescence and platform shifts</t>
  </si>
  <si>
    <t>ST004</t>
  </si>
  <si>
    <t>JurisRoot Technologies</t>
  </si>
  <si>
    <t>LegalTech</t>
  </si>
  <si>
    <t>Lawyer marketplace &amp; consultation app</t>
  </si>
  <si>
    <t>SMEs</t>
  </si>
  <si>
    <t>Kolkata</t>
  </si>
  <si>
    <t>High customer retention and repeat usage</t>
  </si>
  <si>
    <t>Unproven scalability of core technology</t>
  </si>
  <si>
    <t>Rising smartphone and internet penetration</t>
  </si>
  <si>
    <t>Imitable business model with low switching costs</t>
  </si>
  <si>
    <t>ST005</t>
  </si>
  <si>
    <t>InferNest</t>
  </si>
  <si>
    <t>AI/ML</t>
  </si>
  <si>
    <t>Conversational AI customer support bot</t>
  </si>
  <si>
    <t>Job Seekers</t>
  </si>
  <si>
    <t>Mumbai</t>
  </si>
  <si>
    <t>High employee retention and strong culture</t>
  </si>
  <si>
    <t>High customer acquisition cost relative to LTV</t>
  </si>
  <si>
    <t>ST006</t>
  </si>
  <si>
    <t>ChargeNova</t>
  </si>
  <si>
    <t>CleanTech/EV</t>
  </si>
  <si>
    <t>Battery-swapping infrastructure</t>
  </si>
  <si>
    <t>Logistics Companies</t>
  </si>
  <si>
    <t>Experienced advisory board and mentor network</t>
  </si>
  <si>
    <t>Low average revenue per user (ARPU)</t>
  </si>
  <si>
    <t>ST007</t>
  </si>
  <si>
    <t>PeopleNest</t>
  </si>
  <si>
    <t>HR Tech</t>
  </si>
  <si>
    <t>Employee benefits &amp; payroll fintech</t>
  </si>
  <si>
    <t>Enterprise Clients</t>
  </si>
  <si>
    <t>Tier-2/3 Cities (India)</t>
  </si>
  <si>
    <t>Lean cost structure with healthy unit economics</t>
  </si>
  <si>
    <t>Founder-dependent decision making and operations</t>
  </si>
  <si>
    <t>Partnership potential with large enterprise clients</t>
  </si>
  <si>
    <t>ST008</t>
  </si>
  <si>
    <t>JurisRoot Solutions</t>
  </si>
  <si>
    <t>Contract lifecycle management SaaS</t>
  </si>
  <si>
    <t>Diversified and recurring revenue streams</t>
  </si>
  <si>
    <t>Consolidation opportunities via M&amp;A of smaller players</t>
  </si>
  <si>
    <t>Tightening data localisation and compliance norms</t>
  </si>
  <si>
    <t>High</t>
  </si>
  <si>
    <t>ST009</t>
  </si>
  <si>
    <t>ArenaRoot Networks</t>
  </si>
  <si>
    <t>Gaming &amp; Esports</t>
  </si>
  <si>
    <t>Mobile fantasy sports platform</t>
  </si>
  <si>
    <t>College Students</t>
  </si>
  <si>
    <t>Thin operating margins in early growth phase</t>
  </si>
  <si>
    <t>Talent attrition to larger, better-funded competitors</t>
  </si>
  <si>
    <t>Low</t>
  </si>
  <si>
    <t>ST010</t>
  </si>
  <si>
    <t>MoneyMint Technologies</t>
  </si>
  <si>
    <t>FinTech</t>
  </si>
  <si>
    <t>UPI-based micro-lending app</t>
  </si>
  <si>
    <t>Unbanked Population</t>
  </si>
  <si>
    <t>Ahmedabad</t>
  </si>
  <si>
    <t>Increasing demand for digital-first solutions</t>
  </si>
  <si>
    <t>Heavy dependence on third-party aggregator platforms</t>
  </si>
  <si>
    <t>ST011</t>
  </si>
  <si>
    <t>MartRoot</t>
  </si>
  <si>
    <t>E-commerce</t>
  </si>
  <si>
    <t>B2B wholesale ordering app</t>
  </si>
  <si>
    <t>Small Retailers</t>
  </si>
  <si>
    <t>North America</t>
  </si>
  <si>
    <t>Largely untapped rural and semi-urban market</t>
  </si>
  <si>
    <t>High customer price sensitivity limiting monetisation</t>
  </si>
  <si>
    <t>ST012</t>
  </si>
  <si>
    <t>PolicyLoop</t>
  </si>
  <si>
    <t>InsurTech</t>
  </si>
  <si>
    <t>Micro-insurance distribution platform</t>
  </si>
  <si>
    <t>Urban Millennials</t>
  </si>
  <si>
    <t>Limited data history for risk/credit modelling</t>
  </si>
  <si>
    <t>Potential entry of large global players into the market</t>
  </si>
  <si>
    <t>ST013</t>
  </si>
  <si>
    <t>TalentNova</t>
  </si>
  <si>
    <t>AI-based recruitment screening platform</t>
  </si>
  <si>
    <t>Gig Workers</t>
  </si>
  <si>
    <t>Strong brand recall within target segment</t>
  </si>
  <si>
    <t>Increasing institutional and VC interest in the sector</t>
  </si>
  <si>
    <t>ST014</t>
  </si>
  <si>
    <t>CargoLoop Labs</t>
  </si>
  <si>
    <t>Logistics &amp; Supply Chain</t>
  </si>
  <si>
    <t>AI-based fleet route optimization</t>
  </si>
  <si>
    <t>Retail Chains</t>
  </si>
  <si>
    <t>Delhi NCR</t>
  </si>
  <si>
    <t>ST015</t>
  </si>
  <si>
    <t>SafeNest</t>
  </si>
  <si>
    <t>Usage-based vehicle insurance app</t>
  </si>
  <si>
    <t>Rural Households</t>
  </si>
  <si>
    <t>Strong founding team with deep domain expertise</t>
  </si>
  <si>
    <t>Growing acceptance of digital payments enabling adoption</t>
  </si>
  <si>
    <t>Data privacy and cybersecurity risk exposure</t>
  </si>
  <si>
    <t>ST016</t>
  </si>
  <si>
    <t>EduSpark Solutions</t>
  </si>
  <si>
    <t>AI-powered test prep platform</t>
  </si>
  <si>
    <t>ST017</t>
  </si>
  <si>
    <t>JurisRoot</t>
  </si>
  <si>
    <t>Compliance tracking software for SMEs</t>
  </si>
  <si>
    <t>Reliance on third-party platforms for distribution</t>
  </si>
  <si>
    <t>Input cost / currency volatility impacting margins</t>
  </si>
  <si>
    <t>ST018</t>
  </si>
  <si>
    <t>ShieldRoot Solutions</t>
  </si>
  <si>
    <t>Cybersecurity</t>
  </si>
  <si>
    <t>Phishing simulation &amp; training tool</t>
  </si>
  <si>
    <t>ST019</t>
  </si>
  <si>
    <t>PlateNova Technologies</t>
  </si>
  <si>
    <t>Subscription-based healthy meal service</t>
  </si>
  <si>
    <t>Restaurant Owners</t>
  </si>
  <si>
    <t>Robust and scalable technology infrastructure</t>
  </si>
  <si>
    <t>ST020</t>
  </si>
  <si>
    <t>SecNova Technologies</t>
  </si>
  <si>
    <t>ST021</t>
  </si>
  <si>
    <t>MoneyMint Networks</t>
  </si>
  <si>
    <t>Expense management app for SMEs</t>
  </si>
  <si>
    <t>Asset-light, capital-efficient business model</t>
  </si>
  <si>
    <t>Limited geographic presence and city coverage</t>
  </si>
  <si>
    <t>ST022</t>
  </si>
  <si>
    <t>MediNest Technologies</t>
  </si>
  <si>
    <t>HealthTech</t>
  </si>
  <si>
    <t>AI-based diagnostic imaging tool</t>
  </si>
  <si>
    <t>Senior Citizens</t>
  </si>
  <si>
    <t>Limited brand awareness outside core markets</t>
  </si>
  <si>
    <t>Dependence on subsidies that may be withdrawn</t>
  </si>
  <si>
    <t>ST023</t>
  </si>
  <si>
    <t>GreenAcre Networks</t>
  </si>
  <si>
    <t>AgriTech</t>
  </si>
  <si>
    <t>Cold-chain logistics for perishables</t>
  </si>
  <si>
    <t>Small &amp; Marginal Farmers</t>
  </si>
  <si>
    <t>Cross-selling opportunities with adjacent products</t>
  </si>
  <si>
    <t>ST024</t>
  </si>
  <si>
    <t>QuestNest Labs</t>
  </si>
  <si>
    <t>Game streaming community app</t>
  </si>
  <si>
    <t>Middle East</t>
  </si>
  <si>
    <t>High employee attrition in key technical roles</t>
  </si>
  <si>
    <t>Potential for international/cross-border expansion</t>
  </si>
  <si>
    <t>Changing consumer trends reducing relevance over time</t>
  </si>
  <si>
    <t>ST025</t>
  </si>
  <si>
    <t>InferNest Solutions</t>
  </si>
  <si>
    <t>Manufacturing Companies</t>
  </si>
  <si>
    <t>Rising consumer awareness around sustainability</t>
  </si>
  <si>
    <t>ST026</t>
  </si>
  <si>
    <t>ChargeNova Labs</t>
  </si>
  <si>
    <t>EV fleet management software</t>
  </si>
  <si>
    <t>Urban Commuters</t>
  </si>
  <si>
    <t>ST027</t>
  </si>
  <si>
    <t>FreightRoot Networks</t>
  </si>
  <si>
    <t>E-commerce Sellers</t>
  </si>
  <si>
    <t>ST028</t>
  </si>
  <si>
    <t>OpsRoot</t>
  </si>
  <si>
    <t>SaaS / Enterprise Software</t>
  </si>
  <si>
    <t>Sales CRM for SMEs</t>
  </si>
  <si>
    <t>HR Teams</t>
  </si>
  <si>
    <t>ST029</t>
  </si>
  <si>
    <t>GameLoop</t>
  </si>
  <si>
    <t>Esports tournament hosting platform</t>
  </si>
  <si>
    <t>Gen Z Gamers</t>
  </si>
  <si>
    <t>ST030</t>
  </si>
  <si>
    <t>VoyageLoop</t>
  </si>
  <si>
    <t>TravelTech</t>
  </si>
  <si>
    <t>AI-based itinerary planning app</t>
  </si>
  <si>
    <t>Budget Travellers</t>
  </si>
  <si>
    <t>ST031</t>
  </si>
  <si>
    <t>MartRoot 56</t>
  </si>
  <si>
    <t>Pune</t>
  </si>
  <si>
    <t>ST032</t>
  </si>
  <si>
    <t>LawLoop Technologies</t>
  </si>
  <si>
    <t>Individual Consumers</t>
  </si>
  <si>
    <t>ST033</t>
  </si>
  <si>
    <t>QuestNest</t>
  </si>
  <si>
    <t>Mobile Gamers</t>
  </si>
  <si>
    <t>ST034</t>
  </si>
  <si>
    <t>WattRoute Networks</t>
  </si>
  <si>
    <t>Lithium-ion battery recycling unit</t>
  </si>
  <si>
    <t>Fleet Operators</t>
  </si>
  <si>
    <t>Pan-India</t>
  </si>
  <si>
    <t>Funding winter restricting access to growth capital</t>
  </si>
  <si>
    <t>ST035</t>
  </si>
  <si>
    <t>TalentNova Labs</t>
  </si>
  <si>
    <t>Inconsistent service quality across regions</t>
  </si>
  <si>
    <t>Shift in consumer preference toward subscription models</t>
  </si>
  <si>
    <t>ST036</t>
  </si>
  <si>
    <t>CargoLoop Networks</t>
  </si>
  <si>
    <t>Last-mile delivery aggregator platform</t>
  </si>
  <si>
    <t>ST037</t>
  </si>
  <si>
    <t>QuestNest 12</t>
  </si>
  <si>
    <t>Esports Enthusiasts</t>
  </si>
  <si>
    <t>ST038</t>
  </si>
  <si>
    <t>FreightRoot Solutions</t>
  </si>
  <si>
    <t>Intensifying competition from well-funded players</t>
  </si>
  <si>
    <t>ST039</t>
  </si>
  <si>
    <t>GuardMesh Technologies</t>
  </si>
  <si>
    <t>Identity &amp; access management SaaS</t>
  </si>
  <si>
    <t>BFSI Companies</t>
  </si>
  <si>
    <t>ST040</t>
  </si>
  <si>
    <t>HireRoot Solutions</t>
  </si>
  <si>
    <t>Startups</t>
  </si>
  <si>
    <t>Hyderabad</t>
  </si>
  <si>
    <t>Wide multi-channel distribution network</t>
  </si>
  <si>
    <t>ST041</t>
  </si>
  <si>
    <t>CogniRoot</t>
  </si>
  <si>
    <t>Computer vision quality inspection system</t>
  </si>
  <si>
    <t>ST042</t>
  </si>
  <si>
    <t>GreenAcre Solutions</t>
  </si>
  <si>
    <t>Farm-to-retail produce marketplace</t>
  </si>
  <si>
    <t>FPOs</t>
  </si>
  <si>
    <t>ST043</t>
  </si>
  <si>
    <t>WealthBee Networks</t>
  </si>
  <si>
    <t>Neo-banking platform for freelancers</t>
  </si>
  <si>
    <t>ST044</t>
  </si>
  <si>
    <t>SafeNest Technologies</t>
  </si>
  <si>
    <t>Health insurance comparison marketplace</t>
  </si>
  <si>
    <t>ST045</t>
  </si>
  <si>
    <t>FoodLoop</t>
  </si>
  <si>
    <t>Cloud kitchen network</t>
  </si>
  <si>
    <t>ST046</t>
  </si>
  <si>
    <t>VoyageLoop 49</t>
  </si>
  <si>
    <t>Corporate travel management SaaS</t>
  </si>
  <si>
    <t>Working Professionals</t>
  </si>
  <si>
    <t>ST047</t>
  </si>
  <si>
    <t>PrepWise</t>
  </si>
  <si>
    <t>Career counselling marketplace</t>
  </si>
  <si>
    <t>Jaipur</t>
  </si>
  <si>
    <t>ST048</t>
  </si>
  <si>
    <t>GameLoop Solutions</t>
  </si>
  <si>
    <t>Casual hyper-casual gaming studio</t>
  </si>
  <si>
    <t>Europe</t>
  </si>
  <si>
    <t>ST049</t>
  </si>
  <si>
    <t>BrightPath</t>
  </si>
  <si>
    <t>School ERP &amp; learning management system</t>
  </si>
  <si>
    <t>K-12 Students</t>
  </si>
  <si>
    <t>Heavy dependence on a single revenue stream</t>
  </si>
  <si>
    <t>ST050</t>
  </si>
  <si>
    <t>VoyageLoop 97</t>
  </si>
  <si>
    <t>ST051</t>
  </si>
  <si>
    <t>SkillRoot Technologies</t>
  </si>
  <si>
    <t>Skill-based micro-credential courses</t>
  </si>
  <si>
    <t>ST052</t>
  </si>
  <si>
    <t>CyberNest Technologies</t>
  </si>
  <si>
    <t>Endpoint threat detection software</t>
  </si>
  <si>
    <t>IT Companies</t>
  </si>
  <si>
    <t>ST053</t>
  </si>
  <si>
    <t>AgroVerve</t>
  </si>
  <si>
    <t>Soil health analytics app</t>
  </si>
  <si>
    <t>ST054</t>
  </si>
  <si>
    <t>CargoLoop</t>
  </si>
  <si>
    <t>Cross-border freight booking marketplace</t>
  </si>
  <si>
    <t>ST055</t>
  </si>
  <si>
    <t>GreenAcre</t>
  </si>
  <si>
    <t>ST056</t>
  </si>
  <si>
    <t>ShieldRoot 24</t>
  </si>
  <si>
    <t>Cloud data security platform</t>
  </si>
  <si>
    <t>Early-mover advantage in an underserved niche</t>
  </si>
  <si>
    <t>ST057</t>
  </si>
  <si>
    <t>GreenCharge</t>
  </si>
  <si>
    <t>ST058</t>
  </si>
  <si>
    <t>RouteSense Labs</t>
  </si>
  <si>
    <t>ST059</t>
  </si>
  <si>
    <t>WellRoot</t>
  </si>
  <si>
    <t>On-demand home healthcare service</t>
  </si>
  <si>
    <t>Rural Patients</t>
  </si>
  <si>
    <t>Proprietary technology with high entry barrier</t>
  </si>
  <si>
    <t>ST060</t>
  </si>
  <si>
    <t>QuestNest Technologies</t>
  </si>
  <si>
    <t>ST061</t>
  </si>
  <si>
    <t>MartRoot 21</t>
  </si>
  <si>
    <t>Social commerce reseller platform</t>
  </si>
  <si>
    <t>Tier-2/3 City Consumers</t>
  </si>
  <si>
    <t>ST062</t>
  </si>
  <si>
    <t>PolicyLoop 25</t>
  </si>
  <si>
    <t>ST063</t>
  </si>
  <si>
    <t>WorkforceLoop</t>
  </si>
  <si>
    <t>Employee engagement &amp; wellness app</t>
  </si>
  <si>
    <t>ST064</t>
  </si>
  <si>
    <t>MartRoot 69</t>
  </si>
  <si>
    <t>Refurbished electronics marketplace</t>
  </si>
  <si>
    <t>Low customer acquisition cost via organic channels</t>
  </si>
  <si>
    <t>ST065</t>
  </si>
  <si>
    <t>VitalEdge</t>
  </si>
  <si>
    <t>Teleconsultation platform</t>
  </si>
  <si>
    <t>ST066</t>
  </si>
  <si>
    <t>CloudNest</t>
  </si>
  <si>
    <t>HR &amp; payroll automation suite</t>
  </si>
  <si>
    <t>ST067</t>
  </si>
  <si>
    <t>PlateNova</t>
  </si>
  <si>
    <t>ST068</t>
  </si>
  <si>
    <t>WellRoot 82</t>
  </si>
  <si>
    <t>Chronic disease management app</t>
  </si>
  <si>
    <t>ST069</t>
  </si>
  <si>
    <t>SpaceMesh</t>
  </si>
  <si>
    <t>PropTech</t>
  </si>
  <si>
    <t>Online property rental marketplace</t>
  </si>
  <si>
    <t>NRIs</t>
  </si>
  <si>
    <t>Expansion potential into Tier-2/3 cities</t>
  </si>
  <si>
    <t>ST070</t>
  </si>
  <si>
    <t>DealLoop</t>
  </si>
  <si>
    <t>ST071</t>
  </si>
  <si>
    <t>ClassNova Labs</t>
  </si>
  <si>
    <t>Vernacular language learning app</t>
  </si>
  <si>
    <t>ST072</t>
  </si>
  <si>
    <t>SecNova Networks</t>
  </si>
  <si>
    <t>ST073</t>
  </si>
  <si>
    <t>WorkNova</t>
  </si>
  <si>
    <t>Customer support ticketing platform</t>
  </si>
  <si>
    <t>ST074</t>
  </si>
  <si>
    <t>EduSpark</t>
  </si>
  <si>
    <t>ST075</t>
  </si>
  <si>
    <t>TripNova</t>
  </si>
  <si>
    <t>Bus/train ticket aggregator</t>
  </si>
  <si>
    <t>ST076</t>
  </si>
  <si>
    <t>SkillRoot</t>
  </si>
  <si>
    <t>ST077</t>
  </si>
  <si>
    <t>CloudNest 80</t>
  </si>
  <si>
    <t>ST078</t>
  </si>
  <si>
    <t>FreightRoot</t>
  </si>
  <si>
    <t>ST079</t>
  </si>
  <si>
    <t>FreightRoot 83</t>
  </si>
  <si>
    <t>Limited product differentiation versus incumbents</t>
  </si>
  <si>
    <t>ST080</t>
  </si>
  <si>
    <t>SunVolt</t>
  </si>
  <si>
    <t>ST081</t>
  </si>
  <si>
    <t>WellRoot 38</t>
  </si>
  <si>
    <t>Urban Households</t>
  </si>
  <si>
    <t>ST082</t>
  </si>
  <si>
    <t>FreshBite Networks</t>
  </si>
  <si>
    <t>Students</t>
  </si>
  <si>
    <t>ST083</t>
  </si>
  <si>
    <t>EcoVolt Networks</t>
  </si>
  <si>
    <t>Solar rooftop financing platform</t>
  </si>
  <si>
    <t>ST084</t>
  </si>
  <si>
    <t>SpaceMesh 79</t>
  </si>
  <si>
    <t>Co-living space aggregator</t>
  </si>
  <si>
    <t>ST085</t>
  </si>
  <si>
    <t>MediNest Solutions</t>
  </si>
  <si>
    <t>Generic medicine delivery platform</t>
  </si>
  <si>
    <t>ST086</t>
  </si>
  <si>
    <t>FreshBite 40</t>
  </si>
  <si>
    <t>ST087</t>
  </si>
  <si>
    <t>MindMesh Networks</t>
  </si>
  <si>
    <t>ST088</t>
  </si>
  <si>
    <t>WorkNova Technologies</t>
  </si>
  <si>
    <t>ST089</t>
  </si>
  <si>
    <t>CarePulse Labs</t>
  </si>
  <si>
    <t>Mental wellness &amp; therapy app</t>
  </si>
  <si>
    <t>Chronic Patients</t>
  </si>
  <si>
    <t>ST090</t>
  </si>
  <si>
    <t>RoamNest</t>
  </si>
  <si>
    <t>Corporate Clients</t>
  </si>
  <si>
    <t>ST091</t>
  </si>
  <si>
    <t>CropSense</t>
  </si>
  <si>
    <t>ST092</t>
  </si>
  <si>
    <t>CropSense 26</t>
  </si>
  <si>
    <t>Precision farming IoT sensors</t>
  </si>
  <si>
    <t>Agri-input Retailers</t>
  </si>
  <si>
    <t>ST093</t>
  </si>
  <si>
    <t>SafeNest Solutions</t>
  </si>
  <si>
    <t>ST094</t>
  </si>
  <si>
    <t>WorkNova Labs</t>
  </si>
  <si>
    <t>ST095</t>
  </si>
  <si>
    <t>WealthBee Labs</t>
  </si>
  <si>
    <t>AI-driven credit scoring engine</t>
  </si>
  <si>
    <t>ST096</t>
  </si>
  <si>
    <t>OpsRoot 78</t>
  </si>
  <si>
    <t>ST097</t>
  </si>
  <si>
    <t>CoinTrail Technologies</t>
  </si>
  <si>
    <t>ST098</t>
  </si>
  <si>
    <t>SpaceMesh 24</t>
  </si>
  <si>
    <t>Smart home automation platform</t>
  </si>
  <si>
    <t>Chennai</t>
  </si>
  <si>
    <t>ST099</t>
  </si>
  <si>
    <t>UrbanRoot</t>
  </si>
  <si>
    <t>Construction project management SaaS</t>
  </si>
  <si>
    <t>ST100</t>
  </si>
  <si>
    <t>AgroVerve 58</t>
  </si>
  <si>
    <t>Crop insurance &amp; advisory platform</t>
  </si>
  <si>
    <t>PESTLE Impact Score</t>
  </si>
  <si>
    <t>Startup Viability Score</t>
  </si>
  <si>
    <t>Investment Attractiveness Score</t>
  </si>
  <si>
    <t>Market Readiness Score</t>
  </si>
  <si>
    <t>Rank Key</t>
  </si>
  <si>
    <t>Count</t>
  </si>
  <si>
    <t>PESTLE Factor</t>
  </si>
  <si>
    <t>Average Score</t>
  </si>
  <si>
    <t>Rank</t>
  </si>
  <si>
    <t>Investment Attractiveness</t>
  </si>
  <si>
    <t>Avg Market Size</t>
  </si>
  <si>
    <t>Political</t>
  </si>
  <si>
    <t>Economic</t>
  </si>
  <si>
    <t>Social</t>
  </si>
  <si>
    <t>Technological</t>
  </si>
  <si>
    <t>Legal</t>
  </si>
  <si>
    <t>Environmental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</si>
</sst>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0.0\M"/>
    <numFmt numFmtId="166" formatCode="\$#,##0.0\M"/>
  </numFmts>
  <fonts count="9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10"/>
      <color rgb="FF595959"/>
      <name val="Arial"/>
      <family val="2"/>
    </font>
    <font>
      <b/>
      <sz val="9"/>
      <color rgb="FF595959"/>
      <name val="Arial"/>
      <family val="2"/>
    </font>
    <font>
      <b/>
      <sz val="18"/>
      <color rgb="FF1F3864"/>
      <name val="Arial"/>
      <family val="2"/>
    </font>
    <font>
      <b/>
      <sz val="12"/>
      <color rgb="FFFFFFFF"/>
      <name val="Arial"/>
      <family val="2"/>
    </font>
    <font>
      <sz val="9.5"/>
      <color rgb="FF26262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F1F8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</fills>
  <borders count="4">
    <border>
      <left/>
      <right/>
      <top/>
      <bottom/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2E75B6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5" borderId="0" xfId="0" applyFont="1" applyFill="1" applyAlignment="1">
      <alignment horizontal="left" vertical="top" wrapText="1" indent="1"/>
    </xf>
    <xf numFmtId="0" fontId="6" fillId="4" borderId="0" xfId="0" applyFont="1" applyFill="1" applyAlignment="1">
      <alignment horizontal="left" vertical="top" wrapText="1" indent="1"/>
    </xf>
    <xf numFmtId="0" fontId="5" fillId="2" borderId="0" xfId="0" applyFont="1" applyFill="1" applyAlignment="1">
      <alignment horizontal="left" vertical="center" indent="1"/>
    </xf>
    <xf numFmtId="49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indent="2"/>
    </xf>
    <xf numFmtId="0" fontId="1" fillId="2" borderId="0" xfId="0" applyFont="1" applyFill="1" applyAlignment="1">
      <alignment horizontal="left" vertical="center" indent="2"/>
    </xf>
    <xf numFmtId="0" fontId="7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vertical="center"/>
    </xf>
    <xf numFmtId="0" fontId="7" fillId="2" borderId="0" xfId="0" applyFont="1" applyFill="1"/>
    <xf numFmtId="0" fontId="8" fillId="0" borderId="3" xfId="0" applyFont="1" applyBorder="1" applyAlignment="1">
      <alignment horizontal="center" vertical="center"/>
    </xf>
    <xf numFmtId="0" fontId="5" fillId="0" borderId="0" xfId="0" applyFont="1" applyFill="1" applyAlignment="1">
      <alignment horizontal="left" vertical="center" indent="1"/>
    </xf>
    <xf numFmtId="0" fontId="0" fillId="0" borderId="0" xfId="0" applyFill="1"/>
    <xf numFmtId="0" fontId="6" fillId="0" borderId="0" xfId="0" applyFont="1" applyFill="1" applyAlignment="1">
      <alignment horizontal="left" vertical="top" wrapText="1" indent="1"/>
    </xf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993366"/>
      <rgbColor rgb="FFF7F9F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E4D6"/>
      <rgbColor rgb="FF99CCFF"/>
      <rgbColor rgb="FFFF99CC"/>
      <rgbColor rgb="FFCC99FF"/>
      <rgbColor rgb="FFF8CBAD"/>
      <rgbColor rgb="FF2E75B6"/>
      <rgbColor rgb="FF33CCCC"/>
      <rgbColor rgb="FF99CC00"/>
      <rgbColor rgb="FFFFC000"/>
      <rgbColor rgb="FFFF9900"/>
      <rgbColor rgb="FFFF6600"/>
      <rgbColor rgb="FF595959"/>
      <rgbColor rgb="FFB3B3B3"/>
      <rgbColor rgb="FF1F3864"/>
      <rgbColor rgb="FF70AD47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Startup Count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Calc!$A$2:$A$18</c:f>
              <c:strCache>
                <c:ptCount val="17"/>
                <c:pt idx="0">
                  <c:v>EdTech</c:v>
                </c:pt>
                <c:pt idx="1">
                  <c:v>FinTech</c:v>
                </c:pt>
                <c:pt idx="2">
                  <c:v>HealthTech</c:v>
                </c:pt>
                <c:pt idx="3">
                  <c:v>AgriTech</c:v>
                </c:pt>
                <c:pt idx="4">
                  <c:v>CleanTech/EV</c:v>
                </c:pt>
                <c:pt idx="5">
                  <c:v>E-commerce</c:v>
                </c:pt>
                <c:pt idx="6">
                  <c:v>FoodTech</c:v>
                </c:pt>
                <c:pt idx="7">
                  <c:v>Logistics &amp; Supply Chain</c:v>
                </c:pt>
                <c:pt idx="8">
                  <c:v>SaaS / Enterprise Software</c:v>
                </c:pt>
                <c:pt idx="9">
                  <c:v>AI/ML</c:v>
                </c:pt>
                <c:pt idx="10">
                  <c:v>Cybersecurity</c:v>
                </c:pt>
                <c:pt idx="11">
                  <c:v>PropTech</c:v>
                </c:pt>
                <c:pt idx="12">
                  <c:v>TravelTech</c:v>
                </c:pt>
                <c:pt idx="13">
                  <c:v>Gaming &amp; Esports</c:v>
                </c:pt>
                <c:pt idx="14">
                  <c:v>InsurTech</c:v>
                </c:pt>
                <c:pt idx="15">
                  <c:v>LegalTech</c:v>
                </c:pt>
                <c:pt idx="16">
                  <c:v>HR Tech</c:v>
                </c:pt>
              </c:strCache>
            </c:strRef>
          </c:cat>
          <c:val>
            <c:numRef>
              <c:f>Calc!$B$2:$B$18</c:f>
              <c:numCache>
                <c:formatCode>General</c:formatCode>
                <c:ptCount val="17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5</c:v>
                </c:pt>
                <c:pt idx="13">
                  <c:v>7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3-4E74-AA15-87AB29DF0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384172"/>
        <c:axId val="16044575"/>
      </c:barChart>
      <c:catAx>
        <c:axId val="983841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44575"/>
        <c:crosses val="autoZero"/>
        <c:auto val="1"/>
        <c:lblAlgn val="ctr"/>
        <c:lblOffset val="100"/>
        <c:noMultiLvlLbl val="0"/>
      </c:catAx>
      <c:valAx>
        <c:axId val="1604457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841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Risk 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Calc!$E$1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BB4-4ED5-9C7F-820D1A5C0BE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BB4-4ED5-9C7F-820D1A5C0BE0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BB4-4ED5-9C7F-820D1A5C0BE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BB4-4ED5-9C7F-820D1A5C0BE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BB4-4ED5-9C7F-820D1A5C0BE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BB4-4ED5-9C7F-820D1A5C0B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Calc!$D$2:$D$4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Calc!$E$2:$E$4</c:f>
              <c:numCache>
                <c:formatCode>General</c:formatCode>
                <c:ptCount val="3"/>
                <c:pt idx="0">
                  <c:v>19</c:v>
                </c:pt>
                <c:pt idx="1">
                  <c:v>56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B4-4ED5-9C7F-820D1A5C0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PESTLE Impact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Calc!$H$1</c:f>
              <c:strCache>
                <c:ptCount val="1"/>
                <c:pt idx="0">
                  <c:v>Average Score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1F386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Political</c:v>
                </c:pt>
                <c:pt idx="1">
                  <c:v>Economic</c:v>
                </c:pt>
                <c:pt idx="2">
                  <c:v>Social</c:v>
                </c:pt>
                <c:pt idx="3">
                  <c:v>Technological</c:v>
                </c:pt>
                <c:pt idx="4">
                  <c:v>Legal</c:v>
                </c:pt>
                <c:pt idx="5">
                  <c:v>Environmental</c:v>
                </c:pt>
              </c:strCache>
            </c:strRef>
          </c:cat>
          <c:val>
            <c:numRef>
              <c:f>Calc!$H$2:$H$7</c:f>
              <c:numCache>
                <c:formatCode>General</c:formatCode>
                <c:ptCount val="6"/>
                <c:pt idx="0">
                  <c:v>4.66</c:v>
                </c:pt>
                <c:pt idx="1">
                  <c:v>5.5</c:v>
                </c:pt>
                <c:pt idx="2">
                  <c:v>5.59</c:v>
                </c:pt>
                <c:pt idx="3">
                  <c:v>6.67</c:v>
                </c:pt>
                <c:pt idx="4">
                  <c:v>5.74</c:v>
                </c:pt>
                <c:pt idx="5">
                  <c:v>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1-4F4E-AC93-57B413F8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25779"/>
        <c:axId val="37381159"/>
      </c:radarChart>
      <c:catAx>
        <c:axId val="382257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81159"/>
        <c:crosses val="autoZero"/>
        <c:auto val="1"/>
        <c:lblAlgn val="ctr"/>
        <c:lblOffset val="100"/>
        <c:noMultiLvlLbl val="0"/>
      </c:catAx>
      <c:valAx>
        <c:axId val="373811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2257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Startups by Investment Attractiveness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Calc!$L$1</c:f>
              <c:strCache>
                <c:ptCount val="1"/>
                <c:pt idx="0">
                  <c:v>Investment Attractiveness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Calc!$K$2:$K$11</c:f>
              <c:strCache>
                <c:ptCount val="10"/>
                <c:pt idx="0">
                  <c:v>GuardMesh Technologies</c:v>
                </c:pt>
                <c:pt idx="1">
                  <c:v>OpsRoot</c:v>
                </c:pt>
                <c:pt idx="2">
                  <c:v>MartRoot 69</c:v>
                </c:pt>
                <c:pt idx="3">
                  <c:v>MindMesh Networks</c:v>
                </c:pt>
                <c:pt idx="4">
                  <c:v>JurisRoot</c:v>
                </c:pt>
                <c:pt idx="5">
                  <c:v>CarePulse Labs</c:v>
                </c:pt>
                <c:pt idx="6">
                  <c:v>WorkNova Labs</c:v>
                </c:pt>
                <c:pt idx="7">
                  <c:v>OpsRoot 78</c:v>
                </c:pt>
                <c:pt idx="8">
                  <c:v>SafeNest Solutions</c:v>
                </c:pt>
                <c:pt idx="9">
                  <c:v>WealthBee Networks</c:v>
                </c:pt>
              </c:strCache>
            </c:strRef>
          </c:cat>
          <c:val>
            <c:numRef>
              <c:f>Calc!$L$2:$L$11</c:f>
              <c:numCache>
                <c:formatCode>General</c:formatCode>
                <c:ptCount val="10"/>
                <c:pt idx="0">
                  <c:v>8.5004000000000008</c:v>
                </c:pt>
                <c:pt idx="1">
                  <c:v>8.200289999999999</c:v>
                </c:pt>
                <c:pt idx="2">
                  <c:v>7.6006499999999999</c:v>
                </c:pt>
                <c:pt idx="3">
                  <c:v>7.4008800000000008</c:v>
                </c:pt>
                <c:pt idx="4">
                  <c:v>7.4001800000000006</c:v>
                </c:pt>
                <c:pt idx="5">
                  <c:v>7.3008999999999995</c:v>
                </c:pt>
                <c:pt idx="6">
                  <c:v>7.2009499999999997</c:v>
                </c:pt>
                <c:pt idx="7">
                  <c:v>7.1009699999999993</c:v>
                </c:pt>
                <c:pt idx="8">
                  <c:v>7.1009399999999996</c:v>
                </c:pt>
                <c:pt idx="9">
                  <c:v>7.1004399999999999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2-42D7-8274-57E3A9AFB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72532"/>
        <c:axId val="36388846"/>
      </c:barChart>
      <c:catAx>
        <c:axId val="356725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88846"/>
        <c:crosses val="autoZero"/>
        <c:auto val="1"/>
        <c:lblAlgn val="ctr"/>
        <c:lblOffset val="100"/>
        <c:noMultiLvlLbl val="0"/>
      </c:catAx>
      <c:valAx>
        <c:axId val="3638884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725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Strategic Map: Growth Potential vs. Competitive Intensity (all 100 startups)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Startups</c:v>
          </c:tx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Data!$R$2:$R$101</c:f>
              <c:numCache>
                <c:formatCode>General</c:formatCode>
                <c:ptCount val="100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5</c:v>
                </c:pt>
                <c:pt idx="12">
                  <c:v>4</c:v>
                </c:pt>
                <c:pt idx="13">
                  <c:v>8</c:v>
                </c:pt>
                <c:pt idx="14">
                  <c:v>6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6</c:v>
                </c:pt>
                <c:pt idx="20">
                  <c:v>9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8</c:v>
                </c:pt>
                <c:pt idx="29">
                  <c:v>6</c:v>
                </c:pt>
                <c:pt idx="30">
                  <c:v>10</c:v>
                </c:pt>
                <c:pt idx="31">
                  <c:v>3</c:v>
                </c:pt>
                <c:pt idx="32">
                  <c:v>6</c:v>
                </c:pt>
                <c:pt idx="33">
                  <c:v>8</c:v>
                </c:pt>
                <c:pt idx="34">
                  <c:v>7</c:v>
                </c:pt>
                <c:pt idx="35">
                  <c:v>6</c:v>
                </c:pt>
                <c:pt idx="36">
                  <c:v>9</c:v>
                </c:pt>
                <c:pt idx="37">
                  <c:v>8</c:v>
                </c:pt>
                <c:pt idx="38">
                  <c:v>4</c:v>
                </c:pt>
                <c:pt idx="39">
                  <c:v>6</c:v>
                </c:pt>
                <c:pt idx="40">
                  <c:v>7</c:v>
                </c:pt>
                <c:pt idx="41">
                  <c:v>5</c:v>
                </c:pt>
                <c:pt idx="42">
                  <c:v>8</c:v>
                </c:pt>
                <c:pt idx="43">
                  <c:v>6</c:v>
                </c:pt>
                <c:pt idx="44">
                  <c:v>8</c:v>
                </c:pt>
                <c:pt idx="45">
                  <c:v>7</c:v>
                </c:pt>
                <c:pt idx="46">
                  <c:v>9</c:v>
                </c:pt>
                <c:pt idx="47">
                  <c:v>8</c:v>
                </c:pt>
                <c:pt idx="48">
                  <c:v>7</c:v>
                </c:pt>
                <c:pt idx="49">
                  <c:v>9</c:v>
                </c:pt>
                <c:pt idx="50">
                  <c:v>8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3</c:v>
                </c:pt>
                <c:pt idx="55">
                  <c:v>3</c:v>
                </c:pt>
                <c:pt idx="56">
                  <c:v>6</c:v>
                </c:pt>
                <c:pt idx="57">
                  <c:v>5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3</c:v>
                </c:pt>
                <c:pt idx="62">
                  <c:v>5</c:v>
                </c:pt>
                <c:pt idx="63">
                  <c:v>7</c:v>
                </c:pt>
                <c:pt idx="64">
                  <c:v>6</c:v>
                </c:pt>
                <c:pt idx="65">
                  <c:v>6</c:v>
                </c:pt>
                <c:pt idx="66">
                  <c:v>8</c:v>
                </c:pt>
                <c:pt idx="67">
                  <c:v>4</c:v>
                </c:pt>
                <c:pt idx="68">
                  <c:v>7</c:v>
                </c:pt>
                <c:pt idx="69">
                  <c:v>8</c:v>
                </c:pt>
                <c:pt idx="70">
                  <c:v>7</c:v>
                </c:pt>
                <c:pt idx="71">
                  <c:v>6</c:v>
                </c:pt>
                <c:pt idx="72">
                  <c:v>8</c:v>
                </c:pt>
                <c:pt idx="73">
                  <c:v>8</c:v>
                </c:pt>
                <c:pt idx="74">
                  <c:v>5</c:v>
                </c:pt>
                <c:pt idx="75">
                  <c:v>7</c:v>
                </c:pt>
                <c:pt idx="76">
                  <c:v>5</c:v>
                </c:pt>
                <c:pt idx="77">
                  <c:v>9</c:v>
                </c:pt>
                <c:pt idx="78">
                  <c:v>6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7</c:v>
                </c:pt>
                <c:pt idx="83">
                  <c:v>4</c:v>
                </c:pt>
                <c:pt idx="84">
                  <c:v>7</c:v>
                </c:pt>
                <c:pt idx="85">
                  <c:v>7</c:v>
                </c:pt>
                <c:pt idx="86">
                  <c:v>10</c:v>
                </c:pt>
                <c:pt idx="87">
                  <c:v>8</c:v>
                </c:pt>
                <c:pt idx="88">
                  <c:v>4</c:v>
                </c:pt>
                <c:pt idx="89">
                  <c:v>7</c:v>
                </c:pt>
                <c:pt idx="90">
                  <c:v>6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8</c:v>
                </c:pt>
                <c:pt idx="95">
                  <c:v>7</c:v>
                </c:pt>
                <c:pt idx="96">
                  <c:v>9</c:v>
                </c:pt>
                <c:pt idx="97">
                  <c:v>5</c:v>
                </c:pt>
                <c:pt idx="98">
                  <c:v>7</c:v>
                </c:pt>
                <c:pt idx="99">
                  <c:v>2</c:v>
                </c:pt>
              </c:numCache>
            </c:numRef>
          </c:xVal>
          <c:yVal>
            <c:numRef>
              <c:f>Data!$T$2:$T$101</c:f>
              <c:numCache>
                <c:formatCode>General</c:formatCode>
                <c:ptCount val="100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9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7</c:v>
                </c:pt>
                <c:pt idx="37">
                  <c:v>5</c:v>
                </c:pt>
                <c:pt idx="38">
                  <c:v>9</c:v>
                </c:pt>
                <c:pt idx="39">
                  <c:v>6</c:v>
                </c:pt>
                <c:pt idx="40">
                  <c:v>5</c:v>
                </c:pt>
                <c:pt idx="41">
                  <c:v>7</c:v>
                </c:pt>
                <c:pt idx="42">
                  <c:v>8</c:v>
                </c:pt>
                <c:pt idx="43">
                  <c:v>7</c:v>
                </c:pt>
                <c:pt idx="44">
                  <c:v>5</c:v>
                </c:pt>
                <c:pt idx="45">
                  <c:v>4</c:v>
                </c:pt>
                <c:pt idx="46">
                  <c:v>4</c:v>
                </c:pt>
                <c:pt idx="47">
                  <c:v>8</c:v>
                </c:pt>
                <c:pt idx="48">
                  <c:v>8</c:v>
                </c:pt>
                <c:pt idx="49">
                  <c:v>5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3</c:v>
                </c:pt>
                <c:pt idx="55">
                  <c:v>4</c:v>
                </c:pt>
                <c:pt idx="56">
                  <c:v>6</c:v>
                </c:pt>
                <c:pt idx="57">
                  <c:v>7</c:v>
                </c:pt>
                <c:pt idx="58">
                  <c:v>6</c:v>
                </c:pt>
                <c:pt idx="59">
                  <c:v>4</c:v>
                </c:pt>
                <c:pt idx="60">
                  <c:v>3</c:v>
                </c:pt>
                <c:pt idx="61">
                  <c:v>5</c:v>
                </c:pt>
                <c:pt idx="62">
                  <c:v>5</c:v>
                </c:pt>
                <c:pt idx="63">
                  <c:v>8</c:v>
                </c:pt>
                <c:pt idx="64">
                  <c:v>6</c:v>
                </c:pt>
                <c:pt idx="65">
                  <c:v>5</c:v>
                </c:pt>
                <c:pt idx="66">
                  <c:v>3</c:v>
                </c:pt>
                <c:pt idx="67">
                  <c:v>6</c:v>
                </c:pt>
                <c:pt idx="68">
                  <c:v>7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7</c:v>
                </c:pt>
                <c:pt idx="73">
                  <c:v>5</c:v>
                </c:pt>
                <c:pt idx="74">
                  <c:v>5</c:v>
                </c:pt>
                <c:pt idx="75">
                  <c:v>3</c:v>
                </c:pt>
                <c:pt idx="76">
                  <c:v>6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6</c:v>
                </c:pt>
                <c:pt idx="81">
                  <c:v>5</c:v>
                </c:pt>
                <c:pt idx="82">
                  <c:v>8</c:v>
                </c:pt>
                <c:pt idx="83">
                  <c:v>6</c:v>
                </c:pt>
                <c:pt idx="84">
                  <c:v>7</c:v>
                </c:pt>
                <c:pt idx="85">
                  <c:v>5</c:v>
                </c:pt>
                <c:pt idx="86">
                  <c:v>9</c:v>
                </c:pt>
                <c:pt idx="87">
                  <c:v>7</c:v>
                </c:pt>
                <c:pt idx="88">
                  <c:v>8</c:v>
                </c:pt>
                <c:pt idx="89">
                  <c:v>5</c:v>
                </c:pt>
                <c:pt idx="90">
                  <c:v>4</c:v>
                </c:pt>
                <c:pt idx="91">
                  <c:v>4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8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F9-4E72-B876-B2E4B087E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3709"/>
        <c:axId val="11760868"/>
      </c:scatterChart>
      <c:valAx>
        <c:axId val="4273709"/>
        <c:scaling>
          <c:orientation val="minMax"/>
          <c:max val="11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Competitive Intensity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60868"/>
        <c:crosses val="autoZero"/>
        <c:crossBetween val="midCat"/>
      </c:valAx>
      <c:valAx>
        <c:axId val="11760868"/>
        <c:scaling>
          <c:orientation val="minMax"/>
          <c:max val="1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Growth Potential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37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322729</xdr:colOff>
      <xdr:row>9</xdr:row>
      <xdr:rowOff>62752</xdr:rowOff>
    </xdr:from>
    <xdr:to>
      <xdr:col>10</xdr:col>
      <xdr:colOff>484009</xdr:colOff>
      <xdr:row>27</xdr:row>
      <xdr:rowOff>64538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430305</xdr:colOff>
      <xdr:row>9</xdr:row>
      <xdr:rowOff>71717</xdr:rowOff>
    </xdr:from>
    <xdr:to>
      <xdr:col>18</xdr:col>
      <xdr:colOff>562786</xdr:colOff>
      <xdr:row>27</xdr:row>
      <xdr:rowOff>73503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663389</xdr:colOff>
      <xdr:row>9</xdr:row>
      <xdr:rowOff>71717</xdr:rowOff>
    </xdr:from>
    <xdr:to>
      <xdr:col>26</xdr:col>
      <xdr:colOff>268363</xdr:colOff>
      <xdr:row>27</xdr:row>
      <xdr:rowOff>73863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313765</xdr:colOff>
      <xdr:row>27</xdr:row>
      <xdr:rowOff>161365</xdr:rowOff>
    </xdr:from>
    <xdr:to>
      <xdr:col>10</xdr:col>
      <xdr:colOff>128068</xdr:colOff>
      <xdr:row>45</xdr:row>
      <xdr:rowOff>100758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251012</xdr:colOff>
      <xdr:row>28</xdr:row>
      <xdr:rowOff>98612</xdr:rowOff>
    </xdr:from>
    <xdr:to>
      <xdr:col>26</xdr:col>
      <xdr:colOff>402403</xdr:colOff>
      <xdr:row>48</xdr:row>
      <xdr:rowOff>98238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showGridLines="0" zoomScale="85" zoomScaleNormal="85" workbookViewId="0">
      <selection activeCell="AA8" sqref="AA8"/>
    </sheetView>
  </sheetViews>
  <sheetFormatPr defaultColWidth="8.6640625" defaultRowHeight="14.4" x14ac:dyDescent="0.3"/>
  <cols>
    <col min="1" max="20" width="8.21875" customWidth="1"/>
    <col min="21" max="21" width="19.21875" bestFit="1" customWidth="1"/>
  </cols>
  <sheetData>
    <row r="1" spans="1:2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5" spans="1:21" ht="15" customHeight="1" x14ac:dyDescent="0.3">
      <c r="A5" s="8" t="s">
        <v>2</v>
      </c>
      <c r="B5" s="8"/>
      <c r="C5" s="8"/>
      <c r="E5" s="8" t="s">
        <v>3</v>
      </c>
      <c r="F5" s="8"/>
      <c r="G5" s="8"/>
      <c r="I5" s="8" t="s">
        <v>4</v>
      </c>
      <c r="J5" s="8"/>
      <c r="K5" s="8"/>
      <c r="M5" s="8" t="s">
        <v>5</v>
      </c>
      <c r="N5" s="8"/>
      <c r="O5" s="8"/>
      <c r="Q5" s="8" t="s">
        <v>6</v>
      </c>
      <c r="R5" s="8"/>
      <c r="S5" s="8"/>
      <c r="U5" s="8" t="s">
        <v>7</v>
      </c>
    </row>
    <row r="6" spans="1:21" x14ac:dyDescent="0.3">
      <c r="A6" s="8"/>
      <c r="B6" s="8"/>
      <c r="C6" s="8"/>
      <c r="E6" s="8"/>
      <c r="F6" s="8"/>
      <c r="G6" s="8"/>
      <c r="I6" s="8"/>
      <c r="J6" s="8"/>
      <c r="K6" s="8"/>
      <c r="M6" s="8"/>
      <c r="N6" s="8"/>
      <c r="O6" s="8"/>
      <c r="Q6" s="8"/>
      <c r="R6" s="8"/>
      <c r="S6" s="8"/>
      <c r="U6" s="8"/>
    </row>
    <row r="7" spans="1:21" x14ac:dyDescent="0.3">
      <c r="A7" s="7">
        <f>COUNTA(Data!A2:A101)</f>
        <v>100</v>
      </c>
      <c r="B7" s="7"/>
      <c r="C7" s="7"/>
      <c r="E7" s="6">
        <f>ROUND(AVERAGE(Data!T2:T101),1)</f>
        <v>5.6</v>
      </c>
      <c r="F7" s="6"/>
      <c r="G7" s="6"/>
      <c r="I7" s="6">
        <f>ROUND(AVERAGE(Scorecard!F2:F101),1)</f>
        <v>5.2</v>
      </c>
      <c r="J7" s="6"/>
      <c r="K7" s="6"/>
      <c r="M7" s="7">
        <f>COUNTIF(Data!S2:S101,"High")</f>
        <v>25</v>
      </c>
      <c r="N7" s="7"/>
      <c r="O7" s="7"/>
      <c r="Q7" s="5">
        <f>ROUND(AVERAGE(Data!G2:G101),1)</f>
        <v>325.89999999999998</v>
      </c>
      <c r="R7" s="5"/>
      <c r="S7" s="5"/>
      <c r="U7" s="4" t="str">
        <f>INDEX(Calc!A2:A18,MATCH(MAX(Calc!B2:B18),Calc!B2:B18,0))</f>
        <v>EdTech</v>
      </c>
    </row>
    <row r="8" spans="1:21" ht="24" customHeight="1" x14ac:dyDescent="0.3">
      <c r="A8" s="7"/>
      <c r="B8" s="7"/>
      <c r="C8" s="7"/>
      <c r="E8" s="6"/>
      <c r="F8" s="6"/>
      <c r="G8" s="6"/>
      <c r="I8" s="6"/>
      <c r="J8" s="6"/>
      <c r="K8" s="6"/>
      <c r="M8" s="7"/>
      <c r="N8" s="7"/>
      <c r="O8" s="7"/>
      <c r="Q8" s="5"/>
      <c r="R8" s="5"/>
      <c r="S8" s="5"/>
      <c r="U8" s="4"/>
    </row>
    <row r="45" spans="14:21" ht="19.5" customHeight="1" x14ac:dyDescent="0.3">
      <c r="N45" s="17"/>
      <c r="O45" s="17"/>
      <c r="P45" s="17"/>
      <c r="Q45" s="17"/>
      <c r="R45" s="17"/>
      <c r="S45" s="17"/>
      <c r="T45" s="17"/>
      <c r="U45" s="17"/>
    </row>
    <row r="46" spans="14:21" x14ac:dyDescent="0.3">
      <c r="N46" s="18"/>
      <c r="O46" s="18"/>
      <c r="P46" s="18"/>
      <c r="Q46" s="18"/>
      <c r="R46" s="18"/>
      <c r="S46" s="18"/>
      <c r="T46" s="18"/>
      <c r="U46" s="18"/>
    </row>
    <row r="47" spans="14:21" ht="15.75" customHeight="1" x14ac:dyDescent="0.3">
      <c r="N47" s="19"/>
      <c r="O47" s="19"/>
      <c r="P47" s="19"/>
      <c r="Q47" s="19"/>
      <c r="R47" s="19"/>
      <c r="S47" s="19"/>
      <c r="T47" s="19"/>
      <c r="U47" s="19"/>
    </row>
    <row r="48" spans="14:21" ht="15.75" customHeight="1" x14ac:dyDescent="0.3">
      <c r="N48" s="19"/>
      <c r="O48" s="19"/>
      <c r="P48" s="19"/>
      <c r="Q48" s="19"/>
      <c r="R48" s="19"/>
      <c r="S48" s="19"/>
      <c r="T48" s="19"/>
      <c r="U48" s="19"/>
    </row>
    <row r="49" spans="2:21" ht="15.75" customHeight="1" x14ac:dyDescent="0.3">
      <c r="B49" s="3" t="s">
        <v>8</v>
      </c>
      <c r="C49" s="3"/>
      <c r="D49" s="3"/>
      <c r="E49" s="3"/>
      <c r="F49" s="3"/>
      <c r="G49" s="3"/>
      <c r="H49" s="3"/>
      <c r="I49" s="3"/>
      <c r="N49" s="19"/>
      <c r="O49" s="19"/>
      <c r="P49" s="19"/>
      <c r="Q49" s="19"/>
      <c r="R49" s="19"/>
      <c r="S49" s="19"/>
      <c r="T49" s="19"/>
      <c r="U49" s="19"/>
    </row>
    <row r="50" spans="2:21" ht="15.75" customHeight="1" x14ac:dyDescent="0.3">
      <c r="N50" s="19"/>
      <c r="O50" s="19"/>
      <c r="P50" s="19"/>
      <c r="Q50" s="19"/>
      <c r="R50" s="19"/>
      <c r="S50" s="19"/>
      <c r="T50" s="19"/>
      <c r="U50" s="19"/>
    </row>
    <row r="51" spans="2:21" ht="15.75" customHeight="1" x14ac:dyDescent="0.3">
      <c r="B51" s="2" t="s">
        <v>9</v>
      </c>
      <c r="C51" s="2"/>
      <c r="D51" s="2"/>
      <c r="E51" s="2"/>
      <c r="F51" s="2"/>
      <c r="G51" s="2"/>
      <c r="H51" s="2"/>
      <c r="I51" s="2"/>
      <c r="N51" s="19"/>
      <c r="O51" s="19"/>
      <c r="P51" s="19"/>
      <c r="Q51" s="19"/>
      <c r="R51" s="19"/>
      <c r="S51" s="19"/>
      <c r="T51" s="19"/>
      <c r="U51" s="19"/>
    </row>
    <row r="52" spans="2:21" ht="25.2" customHeight="1" x14ac:dyDescent="0.3">
      <c r="B52" s="2"/>
      <c r="C52" s="2"/>
      <c r="D52" s="2"/>
      <c r="E52" s="2"/>
      <c r="F52" s="2"/>
      <c r="G52" s="2"/>
      <c r="H52" s="2"/>
      <c r="I52" s="2"/>
      <c r="N52" s="19"/>
      <c r="O52" s="19"/>
      <c r="P52" s="19"/>
      <c r="Q52" s="19"/>
      <c r="R52" s="19"/>
      <c r="S52" s="19"/>
      <c r="T52" s="19"/>
      <c r="U52" s="19"/>
    </row>
    <row r="53" spans="2:21" ht="41.4" customHeight="1" x14ac:dyDescent="0.3">
      <c r="B53" s="1" t="s">
        <v>10</v>
      </c>
      <c r="C53" s="1"/>
      <c r="D53" s="1"/>
      <c r="E53" s="1"/>
      <c r="F53" s="1"/>
      <c r="G53" s="1"/>
      <c r="H53" s="1"/>
      <c r="I53" s="1"/>
      <c r="N53" s="19"/>
      <c r="O53" s="19"/>
      <c r="P53" s="19"/>
      <c r="Q53" s="19"/>
      <c r="R53" s="19"/>
      <c r="S53" s="19"/>
      <c r="T53" s="19"/>
      <c r="U53" s="19"/>
    </row>
    <row r="54" spans="2:21" ht="15.6" hidden="1" customHeight="1" x14ac:dyDescent="0.3">
      <c r="B54" s="1"/>
      <c r="C54" s="1"/>
      <c r="D54" s="1"/>
      <c r="E54" s="1"/>
      <c r="F54" s="1"/>
      <c r="G54" s="1"/>
      <c r="H54" s="1"/>
      <c r="I54" s="1"/>
      <c r="N54" s="19"/>
      <c r="O54" s="19"/>
      <c r="P54" s="19"/>
      <c r="Q54" s="19"/>
      <c r="R54" s="19"/>
      <c r="S54" s="19"/>
      <c r="T54" s="19"/>
      <c r="U54" s="19"/>
    </row>
    <row r="55" spans="2:21" ht="37.200000000000003" customHeight="1" x14ac:dyDescent="0.3">
      <c r="B55" s="2" t="s">
        <v>11</v>
      </c>
      <c r="C55" s="2"/>
      <c r="D55" s="2"/>
      <c r="E55" s="2"/>
      <c r="F55" s="2"/>
      <c r="G55" s="2"/>
      <c r="H55" s="2"/>
      <c r="I55" s="2"/>
      <c r="N55" s="19"/>
      <c r="O55" s="19"/>
      <c r="P55" s="19"/>
      <c r="Q55" s="19"/>
      <c r="R55" s="19"/>
      <c r="S55" s="19"/>
      <c r="T55" s="19"/>
      <c r="U55" s="19"/>
    </row>
    <row r="56" spans="2:21" ht="6" customHeight="1" x14ac:dyDescent="0.3">
      <c r="B56" s="2"/>
      <c r="C56" s="2"/>
      <c r="D56" s="2"/>
      <c r="E56" s="2"/>
      <c r="F56" s="2"/>
      <c r="G56" s="2"/>
      <c r="H56" s="2"/>
      <c r="I56" s="2"/>
      <c r="N56" s="19"/>
      <c r="O56" s="19"/>
      <c r="P56" s="19"/>
      <c r="Q56" s="19"/>
      <c r="R56" s="19"/>
      <c r="S56" s="19"/>
      <c r="T56" s="19"/>
      <c r="U56" s="19"/>
    </row>
    <row r="57" spans="2:21" ht="15" customHeight="1" x14ac:dyDescent="0.3">
      <c r="B57" s="1" t="s">
        <v>12</v>
      </c>
      <c r="C57" s="1"/>
      <c r="D57" s="1"/>
      <c r="E57" s="1"/>
      <c r="F57" s="1"/>
      <c r="G57" s="1"/>
      <c r="H57" s="1"/>
      <c r="I57" s="1"/>
      <c r="N57" s="19"/>
      <c r="O57" s="19"/>
      <c r="P57" s="19"/>
      <c r="Q57" s="19"/>
      <c r="R57" s="19"/>
      <c r="S57" s="19"/>
      <c r="T57" s="19"/>
      <c r="U57" s="19"/>
    </row>
    <row r="58" spans="2:21" ht="25.2" customHeight="1" x14ac:dyDescent="0.3">
      <c r="B58" s="1"/>
      <c r="C58" s="1"/>
      <c r="D58" s="1"/>
      <c r="E58" s="1"/>
      <c r="F58" s="1"/>
      <c r="G58" s="1"/>
      <c r="H58" s="1"/>
      <c r="I58" s="1"/>
      <c r="N58" s="19"/>
      <c r="O58" s="19"/>
      <c r="P58" s="19"/>
      <c r="Q58" s="19"/>
      <c r="R58" s="19"/>
      <c r="S58" s="19"/>
      <c r="T58" s="19"/>
      <c r="U58" s="19"/>
    </row>
    <row r="59" spans="2:21" x14ac:dyDescent="0.3">
      <c r="B59" s="2" t="s">
        <v>13</v>
      </c>
      <c r="C59" s="2"/>
      <c r="D59" s="2"/>
      <c r="E59" s="2"/>
      <c r="F59" s="2"/>
      <c r="G59" s="2"/>
      <c r="H59" s="2"/>
      <c r="I59" s="2"/>
    </row>
    <row r="60" spans="2:21" ht="31.2" customHeight="1" x14ac:dyDescent="0.3">
      <c r="B60" s="2"/>
      <c r="C60" s="2"/>
      <c r="D60" s="2"/>
      <c r="E60" s="2"/>
      <c r="F60" s="2"/>
      <c r="G60" s="2"/>
      <c r="H60" s="2"/>
      <c r="I60" s="2"/>
    </row>
    <row r="61" spans="2:21" x14ac:dyDescent="0.3">
      <c r="B61" s="1" t="s">
        <v>14</v>
      </c>
      <c r="C61" s="1"/>
      <c r="D61" s="1"/>
      <c r="E61" s="1"/>
      <c r="F61" s="1"/>
      <c r="G61" s="1"/>
      <c r="H61" s="1"/>
      <c r="I61" s="1"/>
    </row>
    <row r="62" spans="2:21" ht="30.6" customHeight="1" x14ac:dyDescent="0.3">
      <c r="B62" s="1"/>
      <c r="C62" s="1"/>
      <c r="D62" s="1"/>
      <c r="E62" s="1"/>
      <c r="F62" s="1"/>
      <c r="G62" s="1"/>
      <c r="H62" s="1"/>
      <c r="I62" s="1"/>
    </row>
  </sheetData>
  <mergeCells count="28">
    <mergeCell ref="B59:I60"/>
    <mergeCell ref="B61:I62"/>
    <mergeCell ref="N53:U54"/>
    <mergeCell ref="N55:U56"/>
    <mergeCell ref="N57:U58"/>
    <mergeCell ref="B49:I49"/>
    <mergeCell ref="B51:I52"/>
    <mergeCell ref="B53:I54"/>
    <mergeCell ref="B55:I56"/>
    <mergeCell ref="B57:I58"/>
    <mergeCell ref="U7:U8"/>
    <mergeCell ref="N45:U45"/>
    <mergeCell ref="N47:U48"/>
    <mergeCell ref="N49:U50"/>
    <mergeCell ref="N51:U52"/>
    <mergeCell ref="A7:C8"/>
    <mergeCell ref="E7:G8"/>
    <mergeCell ref="I7:K8"/>
    <mergeCell ref="M7:O8"/>
    <mergeCell ref="Q7:S8"/>
    <mergeCell ref="A1:U2"/>
    <mergeCell ref="A3:U3"/>
    <mergeCell ref="A5:C6"/>
    <mergeCell ref="E5:G6"/>
    <mergeCell ref="I5:K6"/>
    <mergeCell ref="M5:O6"/>
    <mergeCell ref="Q5:S6"/>
    <mergeCell ref="U5:U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zoomScaleNormal="100" workbookViewId="0">
      <pane ySplit="1" topLeftCell="A27" activePane="bottomLeft" state="frozen"/>
      <selection sqref="A1:U2"/>
      <selection pane="bottomLeft" sqref="A1:U2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6" customWidth="1"/>
    <col min="4" max="4" width="30" customWidth="1"/>
    <col min="5" max="5" width="22" customWidth="1"/>
    <col min="6" max="6" width="18" customWidth="1"/>
    <col min="7" max="7" width="14" customWidth="1"/>
    <col min="8" max="11" width="32" customWidth="1"/>
    <col min="12" max="14" width="10" customWidth="1"/>
    <col min="15" max="15" width="11" customWidth="1"/>
    <col min="16" max="16" width="9" customWidth="1"/>
    <col min="17" max="17" width="12" customWidth="1"/>
    <col min="18" max="18" width="11" customWidth="1"/>
    <col min="19" max="19" width="10" customWidth="1"/>
    <col min="20" max="20" width="11" customWidth="1"/>
  </cols>
  <sheetData>
    <row r="1" spans="1:20" ht="45.75" customHeight="1" x14ac:dyDescent="0.3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31</v>
      </c>
      <c r="R1" s="11" t="s">
        <v>32</v>
      </c>
      <c r="S1" s="11" t="s">
        <v>33</v>
      </c>
      <c r="T1" s="11" t="s">
        <v>34</v>
      </c>
    </row>
    <row r="2" spans="1:20" ht="23.25" customHeight="1" x14ac:dyDescent="0.3">
      <c r="A2" s="12" t="s">
        <v>35</v>
      </c>
      <c r="B2" s="12" t="s">
        <v>36</v>
      </c>
      <c r="C2" s="12" t="s">
        <v>37</v>
      </c>
      <c r="D2" s="13" t="s">
        <v>38</v>
      </c>
      <c r="E2" s="12" t="s">
        <v>39</v>
      </c>
      <c r="F2" s="12" t="s">
        <v>40</v>
      </c>
      <c r="G2" s="14">
        <v>107</v>
      </c>
      <c r="H2" s="13" t="s">
        <v>41</v>
      </c>
      <c r="I2" s="13" t="s">
        <v>42</v>
      </c>
      <c r="J2" s="13" t="s">
        <v>43</v>
      </c>
      <c r="K2" s="13" t="s">
        <v>44</v>
      </c>
      <c r="L2" s="12">
        <v>1</v>
      </c>
      <c r="M2" s="12">
        <v>6</v>
      </c>
      <c r="N2" s="12">
        <v>7</v>
      </c>
      <c r="O2" s="12">
        <v>7</v>
      </c>
      <c r="P2" s="12">
        <v>6</v>
      </c>
      <c r="Q2" s="12">
        <v>5</v>
      </c>
      <c r="R2" s="12">
        <v>6</v>
      </c>
      <c r="S2" s="12" t="s">
        <v>45</v>
      </c>
      <c r="T2" s="12">
        <v>6</v>
      </c>
    </row>
    <row r="3" spans="1:20" ht="23.25" customHeight="1" x14ac:dyDescent="0.3">
      <c r="A3" s="12" t="s">
        <v>46</v>
      </c>
      <c r="B3" s="12" t="s">
        <v>47</v>
      </c>
      <c r="C3" s="12" t="s">
        <v>48</v>
      </c>
      <c r="D3" s="13" t="s">
        <v>49</v>
      </c>
      <c r="E3" s="12" t="s">
        <v>50</v>
      </c>
      <c r="F3" s="12" t="s">
        <v>51</v>
      </c>
      <c r="G3" s="14">
        <v>391.3</v>
      </c>
      <c r="H3" s="13" t="s">
        <v>52</v>
      </c>
      <c r="I3" s="13" t="s">
        <v>53</v>
      </c>
      <c r="J3" s="13" t="s">
        <v>54</v>
      </c>
      <c r="K3" s="13" t="s">
        <v>55</v>
      </c>
      <c r="L3" s="12">
        <v>4</v>
      </c>
      <c r="M3" s="12">
        <v>3</v>
      </c>
      <c r="N3" s="12">
        <v>6</v>
      </c>
      <c r="O3" s="12">
        <v>9</v>
      </c>
      <c r="P3" s="12">
        <v>6</v>
      </c>
      <c r="Q3" s="12">
        <v>3</v>
      </c>
      <c r="R3" s="12">
        <v>7</v>
      </c>
      <c r="S3" s="12" t="s">
        <v>45</v>
      </c>
      <c r="T3" s="12">
        <v>6</v>
      </c>
    </row>
    <row r="4" spans="1:20" ht="23.25" customHeight="1" x14ac:dyDescent="0.3">
      <c r="A4" s="12" t="s">
        <v>56</v>
      </c>
      <c r="B4" s="12" t="s">
        <v>57</v>
      </c>
      <c r="C4" s="12" t="s">
        <v>37</v>
      </c>
      <c r="D4" s="13" t="s">
        <v>58</v>
      </c>
      <c r="E4" s="12" t="s">
        <v>59</v>
      </c>
      <c r="F4" s="12" t="s">
        <v>40</v>
      </c>
      <c r="G4" s="14">
        <v>567.70000000000005</v>
      </c>
      <c r="H4" s="13" t="s">
        <v>41</v>
      </c>
      <c r="I4" s="13" t="s">
        <v>53</v>
      </c>
      <c r="J4" s="13" t="s">
        <v>60</v>
      </c>
      <c r="K4" s="13" t="s">
        <v>61</v>
      </c>
      <c r="L4" s="12">
        <v>3</v>
      </c>
      <c r="M4" s="12">
        <v>4</v>
      </c>
      <c r="N4" s="12">
        <v>6</v>
      </c>
      <c r="O4" s="12">
        <v>6</v>
      </c>
      <c r="P4" s="12">
        <v>4</v>
      </c>
      <c r="Q4" s="12">
        <v>4</v>
      </c>
      <c r="R4" s="12">
        <v>10</v>
      </c>
      <c r="S4" s="12" t="s">
        <v>45</v>
      </c>
      <c r="T4" s="12">
        <v>5</v>
      </c>
    </row>
    <row r="5" spans="1:20" ht="23.25" customHeight="1" x14ac:dyDescent="0.3">
      <c r="A5" s="12" t="s">
        <v>62</v>
      </c>
      <c r="B5" s="12" t="s">
        <v>63</v>
      </c>
      <c r="C5" s="12" t="s">
        <v>64</v>
      </c>
      <c r="D5" s="13" t="s">
        <v>65</v>
      </c>
      <c r="E5" s="12" t="s">
        <v>66</v>
      </c>
      <c r="F5" s="12" t="s">
        <v>67</v>
      </c>
      <c r="G5" s="14">
        <v>153.4</v>
      </c>
      <c r="H5" s="13" t="s">
        <v>68</v>
      </c>
      <c r="I5" s="13" t="s">
        <v>69</v>
      </c>
      <c r="J5" s="13" t="s">
        <v>70</v>
      </c>
      <c r="K5" s="13" t="s">
        <v>71</v>
      </c>
      <c r="L5" s="12">
        <v>3</v>
      </c>
      <c r="M5" s="12">
        <v>2</v>
      </c>
      <c r="N5" s="12">
        <v>4</v>
      </c>
      <c r="O5" s="12">
        <v>5</v>
      </c>
      <c r="P5" s="12">
        <v>10</v>
      </c>
      <c r="Q5" s="12">
        <v>3</v>
      </c>
      <c r="R5" s="12">
        <v>2</v>
      </c>
      <c r="S5" s="12" t="s">
        <v>45</v>
      </c>
      <c r="T5" s="12">
        <v>2</v>
      </c>
    </row>
    <row r="6" spans="1:20" ht="23.25" customHeight="1" x14ac:dyDescent="0.3">
      <c r="A6" s="12" t="s">
        <v>72</v>
      </c>
      <c r="B6" s="12" t="s">
        <v>73</v>
      </c>
      <c r="C6" s="12" t="s">
        <v>74</v>
      </c>
      <c r="D6" s="13" t="s">
        <v>75</v>
      </c>
      <c r="E6" s="12" t="s">
        <v>76</v>
      </c>
      <c r="F6" s="12" t="s">
        <v>77</v>
      </c>
      <c r="G6" s="14">
        <v>67.5</v>
      </c>
      <c r="H6" s="13" t="s">
        <v>78</v>
      </c>
      <c r="I6" s="13" t="s">
        <v>79</v>
      </c>
      <c r="J6" s="13" t="s">
        <v>43</v>
      </c>
      <c r="K6" s="13" t="s">
        <v>61</v>
      </c>
      <c r="L6" s="12">
        <v>4</v>
      </c>
      <c r="M6" s="12">
        <v>6</v>
      </c>
      <c r="N6" s="12">
        <v>5</v>
      </c>
      <c r="O6" s="12">
        <v>10</v>
      </c>
      <c r="P6" s="12">
        <v>6</v>
      </c>
      <c r="Q6" s="12">
        <v>5</v>
      </c>
      <c r="R6" s="12">
        <v>6</v>
      </c>
      <c r="S6" s="12" t="s">
        <v>45</v>
      </c>
      <c r="T6" s="12">
        <v>6</v>
      </c>
    </row>
    <row r="7" spans="1:20" ht="23.25" customHeight="1" x14ac:dyDescent="0.3">
      <c r="A7" s="12" t="s">
        <v>80</v>
      </c>
      <c r="B7" s="12" t="s">
        <v>81</v>
      </c>
      <c r="C7" s="12" t="s">
        <v>82</v>
      </c>
      <c r="D7" s="13" t="s">
        <v>83</v>
      </c>
      <c r="E7" s="12" t="s">
        <v>84</v>
      </c>
      <c r="F7" s="12" t="s">
        <v>77</v>
      </c>
      <c r="G7" s="14">
        <v>303.39999999999998</v>
      </c>
      <c r="H7" s="13" t="s">
        <v>85</v>
      </c>
      <c r="I7" s="13" t="s">
        <v>86</v>
      </c>
      <c r="J7" s="13" t="s">
        <v>43</v>
      </c>
      <c r="K7" s="13" t="s">
        <v>44</v>
      </c>
      <c r="L7" s="12">
        <v>9</v>
      </c>
      <c r="M7" s="12">
        <v>4</v>
      </c>
      <c r="N7" s="12">
        <v>7</v>
      </c>
      <c r="O7" s="12">
        <v>8</v>
      </c>
      <c r="P7" s="12">
        <v>4</v>
      </c>
      <c r="Q7" s="12">
        <v>10</v>
      </c>
      <c r="R7" s="12">
        <v>6</v>
      </c>
      <c r="S7" s="12" t="s">
        <v>45</v>
      </c>
      <c r="T7" s="12">
        <v>6</v>
      </c>
    </row>
    <row r="8" spans="1:20" ht="23.25" customHeight="1" x14ac:dyDescent="0.3">
      <c r="A8" s="12" t="s">
        <v>87</v>
      </c>
      <c r="B8" s="12" t="s">
        <v>88</v>
      </c>
      <c r="C8" s="12" t="s">
        <v>89</v>
      </c>
      <c r="D8" s="13" t="s">
        <v>90</v>
      </c>
      <c r="E8" s="12" t="s">
        <v>91</v>
      </c>
      <c r="F8" s="12" t="s">
        <v>92</v>
      </c>
      <c r="G8" s="14">
        <v>587.1</v>
      </c>
      <c r="H8" s="13" t="s">
        <v>93</v>
      </c>
      <c r="I8" s="13" t="s">
        <v>94</v>
      </c>
      <c r="J8" s="13" t="s">
        <v>95</v>
      </c>
      <c r="K8" s="13" t="s">
        <v>44</v>
      </c>
      <c r="L8" s="12">
        <v>2</v>
      </c>
      <c r="M8" s="12">
        <v>3</v>
      </c>
      <c r="N8" s="12">
        <v>6</v>
      </c>
      <c r="O8" s="12">
        <v>8</v>
      </c>
      <c r="P8" s="12">
        <v>6</v>
      </c>
      <c r="Q8" s="12">
        <v>1</v>
      </c>
      <c r="R8" s="12">
        <v>7</v>
      </c>
      <c r="S8" s="12" t="s">
        <v>45</v>
      </c>
      <c r="T8" s="12">
        <v>7</v>
      </c>
    </row>
    <row r="9" spans="1:20" ht="23.25" customHeight="1" x14ac:dyDescent="0.3">
      <c r="A9" s="12" t="s">
        <v>96</v>
      </c>
      <c r="B9" s="12" t="s">
        <v>97</v>
      </c>
      <c r="C9" s="12" t="s">
        <v>64</v>
      </c>
      <c r="D9" s="13" t="s">
        <v>98</v>
      </c>
      <c r="E9" s="12" t="s">
        <v>66</v>
      </c>
      <c r="F9" s="12" t="s">
        <v>67</v>
      </c>
      <c r="G9" s="14">
        <v>354.7</v>
      </c>
      <c r="H9" s="13" t="s">
        <v>99</v>
      </c>
      <c r="I9" s="13" t="s">
        <v>79</v>
      </c>
      <c r="J9" s="13" t="s">
        <v>100</v>
      </c>
      <c r="K9" s="13" t="s">
        <v>101</v>
      </c>
      <c r="L9" s="12">
        <v>5</v>
      </c>
      <c r="M9" s="12">
        <v>2</v>
      </c>
      <c r="N9" s="12">
        <v>3</v>
      </c>
      <c r="O9" s="12">
        <v>6</v>
      </c>
      <c r="P9" s="12">
        <v>9</v>
      </c>
      <c r="Q9" s="12">
        <v>1</v>
      </c>
      <c r="R9" s="12">
        <v>6</v>
      </c>
      <c r="S9" s="12" t="s">
        <v>102</v>
      </c>
      <c r="T9" s="12">
        <v>2</v>
      </c>
    </row>
    <row r="10" spans="1:20" ht="23.25" customHeight="1" x14ac:dyDescent="0.3">
      <c r="A10" s="12" t="s">
        <v>103</v>
      </c>
      <c r="B10" s="12" t="s">
        <v>104</v>
      </c>
      <c r="C10" s="12" t="s">
        <v>105</v>
      </c>
      <c r="D10" s="13" t="s">
        <v>106</v>
      </c>
      <c r="E10" s="12" t="s">
        <v>107</v>
      </c>
      <c r="F10" s="12" t="s">
        <v>67</v>
      </c>
      <c r="G10" s="14">
        <v>30.6</v>
      </c>
      <c r="H10" s="13" t="s">
        <v>93</v>
      </c>
      <c r="I10" s="13" t="s">
        <v>108</v>
      </c>
      <c r="J10" s="13" t="s">
        <v>95</v>
      </c>
      <c r="K10" s="13" t="s">
        <v>109</v>
      </c>
      <c r="L10" s="12">
        <v>1</v>
      </c>
      <c r="M10" s="12">
        <v>6</v>
      </c>
      <c r="N10" s="12">
        <v>7</v>
      </c>
      <c r="O10" s="12">
        <v>6</v>
      </c>
      <c r="P10" s="12">
        <v>3</v>
      </c>
      <c r="Q10" s="12">
        <v>3</v>
      </c>
      <c r="R10" s="12">
        <v>7</v>
      </c>
      <c r="S10" s="12" t="s">
        <v>110</v>
      </c>
      <c r="T10" s="12">
        <v>4</v>
      </c>
    </row>
    <row r="11" spans="1:20" ht="23.25" customHeight="1" x14ac:dyDescent="0.3">
      <c r="A11" s="12" t="s">
        <v>111</v>
      </c>
      <c r="B11" s="12" t="s">
        <v>112</v>
      </c>
      <c r="C11" s="12" t="s">
        <v>113</v>
      </c>
      <c r="D11" s="13" t="s">
        <v>114</v>
      </c>
      <c r="E11" s="12" t="s">
        <v>115</v>
      </c>
      <c r="F11" s="12" t="s">
        <v>116</v>
      </c>
      <c r="G11" s="14">
        <v>368.1</v>
      </c>
      <c r="H11" s="13" t="s">
        <v>41</v>
      </c>
      <c r="I11" s="13" t="s">
        <v>94</v>
      </c>
      <c r="J11" s="13" t="s">
        <v>117</v>
      </c>
      <c r="K11" s="13" t="s">
        <v>118</v>
      </c>
      <c r="L11" s="12">
        <v>4</v>
      </c>
      <c r="M11" s="12">
        <v>7</v>
      </c>
      <c r="N11" s="12">
        <v>5</v>
      </c>
      <c r="O11" s="12">
        <v>7</v>
      </c>
      <c r="P11" s="12">
        <v>7</v>
      </c>
      <c r="Q11" s="12">
        <v>1</v>
      </c>
      <c r="R11" s="12">
        <v>7</v>
      </c>
      <c r="S11" s="12" t="s">
        <v>45</v>
      </c>
      <c r="T11" s="12">
        <v>6</v>
      </c>
    </row>
    <row r="12" spans="1:20" ht="23.25" customHeight="1" x14ac:dyDescent="0.3">
      <c r="A12" s="12" t="s">
        <v>119</v>
      </c>
      <c r="B12" s="12" t="s">
        <v>120</v>
      </c>
      <c r="C12" s="12" t="s">
        <v>121</v>
      </c>
      <c r="D12" s="13" t="s">
        <v>122</v>
      </c>
      <c r="E12" s="12" t="s">
        <v>123</v>
      </c>
      <c r="F12" s="12" t="s">
        <v>124</v>
      </c>
      <c r="G12" s="14">
        <v>71.8</v>
      </c>
      <c r="H12" s="13" t="s">
        <v>78</v>
      </c>
      <c r="I12" s="13" t="s">
        <v>108</v>
      </c>
      <c r="J12" s="13" t="s">
        <v>125</v>
      </c>
      <c r="K12" s="13" t="s">
        <v>126</v>
      </c>
      <c r="L12" s="12">
        <v>6</v>
      </c>
      <c r="M12" s="12">
        <v>5</v>
      </c>
      <c r="N12" s="12">
        <v>8</v>
      </c>
      <c r="O12" s="12">
        <v>7</v>
      </c>
      <c r="P12" s="12">
        <v>4</v>
      </c>
      <c r="Q12" s="12">
        <v>3</v>
      </c>
      <c r="R12" s="12">
        <v>8</v>
      </c>
      <c r="S12" s="12" t="s">
        <v>45</v>
      </c>
      <c r="T12" s="12">
        <v>5</v>
      </c>
    </row>
    <row r="13" spans="1:20" ht="23.25" customHeight="1" x14ac:dyDescent="0.3">
      <c r="A13" s="12" t="s">
        <v>127</v>
      </c>
      <c r="B13" s="12" t="s">
        <v>128</v>
      </c>
      <c r="C13" s="12" t="s">
        <v>129</v>
      </c>
      <c r="D13" s="13" t="s">
        <v>130</v>
      </c>
      <c r="E13" s="12" t="s">
        <v>131</v>
      </c>
      <c r="F13" s="12" t="s">
        <v>92</v>
      </c>
      <c r="G13" s="14">
        <v>33.4</v>
      </c>
      <c r="H13" s="13" t="s">
        <v>52</v>
      </c>
      <c r="I13" s="13" t="s">
        <v>132</v>
      </c>
      <c r="J13" s="13" t="s">
        <v>70</v>
      </c>
      <c r="K13" s="13" t="s">
        <v>133</v>
      </c>
      <c r="L13" s="12">
        <v>4</v>
      </c>
      <c r="M13" s="12">
        <v>5</v>
      </c>
      <c r="N13" s="12">
        <v>7</v>
      </c>
      <c r="O13" s="12">
        <v>6</v>
      </c>
      <c r="P13" s="12">
        <v>8</v>
      </c>
      <c r="Q13" s="12">
        <v>4</v>
      </c>
      <c r="R13" s="12">
        <v>5</v>
      </c>
      <c r="S13" s="12" t="s">
        <v>45</v>
      </c>
      <c r="T13" s="12">
        <v>4</v>
      </c>
    </row>
    <row r="14" spans="1:20" ht="23.25" customHeight="1" x14ac:dyDescent="0.3">
      <c r="A14" s="12" t="s">
        <v>134</v>
      </c>
      <c r="B14" s="12" t="s">
        <v>135</v>
      </c>
      <c r="C14" s="12" t="s">
        <v>89</v>
      </c>
      <c r="D14" s="13" t="s">
        <v>136</v>
      </c>
      <c r="E14" s="12" t="s">
        <v>137</v>
      </c>
      <c r="F14" s="12" t="s">
        <v>77</v>
      </c>
      <c r="G14" s="14">
        <v>203.8</v>
      </c>
      <c r="H14" s="13" t="s">
        <v>138</v>
      </c>
      <c r="I14" s="13" t="s">
        <v>42</v>
      </c>
      <c r="J14" s="13" t="s">
        <v>139</v>
      </c>
      <c r="K14" s="13" t="s">
        <v>44</v>
      </c>
      <c r="L14" s="12">
        <v>5</v>
      </c>
      <c r="M14" s="12">
        <v>6</v>
      </c>
      <c r="N14" s="12">
        <v>7</v>
      </c>
      <c r="O14" s="12">
        <v>8</v>
      </c>
      <c r="P14" s="12">
        <v>4</v>
      </c>
      <c r="Q14" s="12">
        <v>1</v>
      </c>
      <c r="R14" s="12">
        <v>4</v>
      </c>
      <c r="S14" s="12" t="s">
        <v>110</v>
      </c>
      <c r="T14" s="12">
        <v>7</v>
      </c>
    </row>
    <row r="15" spans="1:20" ht="23.25" customHeight="1" x14ac:dyDescent="0.3">
      <c r="A15" s="12" t="s">
        <v>140</v>
      </c>
      <c r="B15" s="12" t="s">
        <v>141</v>
      </c>
      <c r="C15" s="12" t="s">
        <v>142</v>
      </c>
      <c r="D15" s="13" t="s">
        <v>143</v>
      </c>
      <c r="E15" s="12" t="s">
        <v>144</v>
      </c>
      <c r="F15" s="12" t="s">
        <v>145</v>
      </c>
      <c r="G15" s="14">
        <v>480.1</v>
      </c>
      <c r="H15" s="13" t="s">
        <v>78</v>
      </c>
      <c r="I15" s="13" t="s">
        <v>53</v>
      </c>
      <c r="J15" s="13" t="s">
        <v>43</v>
      </c>
      <c r="K15" s="13" t="s">
        <v>61</v>
      </c>
      <c r="L15" s="12">
        <v>4</v>
      </c>
      <c r="M15" s="12">
        <v>9</v>
      </c>
      <c r="N15" s="12">
        <v>5</v>
      </c>
      <c r="O15" s="12">
        <v>7</v>
      </c>
      <c r="P15" s="12">
        <v>6</v>
      </c>
      <c r="Q15" s="12">
        <v>4</v>
      </c>
      <c r="R15" s="12">
        <v>8</v>
      </c>
      <c r="S15" s="12" t="s">
        <v>45</v>
      </c>
      <c r="T15" s="12">
        <v>7</v>
      </c>
    </row>
    <row r="16" spans="1:20" ht="23.25" customHeight="1" x14ac:dyDescent="0.3">
      <c r="A16" s="12" t="s">
        <v>146</v>
      </c>
      <c r="B16" s="12" t="s">
        <v>147</v>
      </c>
      <c r="C16" s="12" t="s">
        <v>129</v>
      </c>
      <c r="D16" s="13" t="s">
        <v>148</v>
      </c>
      <c r="E16" s="12" t="s">
        <v>149</v>
      </c>
      <c r="F16" s="12" t="s">
        <v>40</v>
      </c>
      <c r="G16" s="14">
        <v>430.7</v>
      </c>
      <c r="H16" s="13" t="s">
        <v>150</v>
      </c>
      <c r="I16" s="13" t="s">
        <v>79</v>
      </c>
      <c r="J16" s="13" t="s">
        <v>151</v>
      </c>
      <c r="K16" s="13" t="s">
        <v>152</v>
      </c>
      <c r="L16" s="12">
        <v>5</v>
      </c>
      <c r="M16" s="12">
        <v>5</v>
      </c>
      <c r="N16" s="12">
        <v>3</v>
      </c>
      <c r="O16" s="12">
        <v>8</v>
      </c>
      <c r="P16" s="12">
        <v>7</v>
      </c>
      <c r="Q16" s="12">
        <v>3</v>
      </c>
      <c r="R16" s="12">
        <v>6</v>
      </c>
      <c r="S16" s="12" t="s">
        <v>45</v>
      </c>
      <c r="T16" s="12">
        <v>6</v>
      </c>
    </row>
    <row r="17" spans="1:20" ht="23.25" customHeight="1" x14ac:dyDescent="0.3">
      <c r="A17" s="12" t="s">
        <v>153</v>
      </c>
      <c r="B17" s="12" t="s">
        <v>154</v>
      </c>
      <c r="C17" s="12" t="s">
        <v>48</v>
      </c>
      <c r="D17" s="13" t="s">
        <v>155</v>
      </c>
      <c r="E17" s="12" t="s">
        <v>107</v>
      </c>
      <c r="F17" s="12" t="s">
        <v>67</v>
      </c>
      <c r="G17" s="14">
        <v>228</v>
      </c>
      <c r="H17" s="13" t="s">
        <v>85</v>
      </c>
      <c r="I17" s="13" t="s">
        <v>69</v>
      </c>
      <c r="J17" s="13" t="s">
        <v>100</v>
      </c>
      <c r="K17" s="13" t="s">
        <v>71</v>
      </c>
      <c r="L17" s="12">
        <v>5</v>
      </c>
      <c r="M17" s="12">
        <v>5</v>
      </c>
      <c r="N17" s="12">
        <v>9</v>
      </c>
      <c r="O17" s="12">
        <v>5</v>
      </c>
      <c r="P17" s="12">
        <v>7</v>
      </c>
      <c r="Q17" s="12">
        <v>3</v>
      </c>
      <c r="R17" s="12">
        <v>6</v>
      </c>
      <c r="S17" s="12" t="s">
        <v>45</v>
      </c>
      <c r="T17" s="12">
        <v>5</v>
      </c>
    </row>
    <row r="18" spans="1:20" ht="23.25" customHeight="1" x14ac:dyDescent="0.3">
      <c r="A18" s="12" t="s">
        <v>156</v>
      </c>
      <c r="B18" s="12" t="s">
        <v>157</v>
      </c>
      <c r="C18" s="12" t="s">
        <v>64</v>
      </c>
      <c r="D18" s="13" t="s">
        <v>158</v>
      </c>
      <c r="E18" s="12" t="s">
        <v>66</v>
      </c>
      <c r="F18" s="12" t="s">
        <v>124</v>
      </c>
      <c r="G18" s="14">
        <v>598.9</v>
      </c>
      <c r="H18" s="13" t="s">
        <v>68</v>
      </c>
      <c r="I18" s="13" t="s">
        <v>159</v>
      </c>
      <c r="J18" s="13" t="s">
        <v>100</v>
      </c>
      <c r="K18" s="13" t="s">
        <v>160</v>
      </c>
      <c r="L18" s="12">
        <v>4</v>
      </c>
      <c r="M18" s="12">
        <v>5</v>
      </c>
      <c r="N18" s="12">
        <v>1</v>
      </c>
      <c r="O18" s="12">
        <v>8</v>
      </c>
      <c r="P18" s="12">
        <v>8</v>
      </c>
      <c r="Q18" s="12">
        <v>3</v>
      </c>
      <c r="R18" s="12">
        <v>3</v>
      </c>
      <c r="S18" s="12" t="s">
        <v>110</v>
      </c>
      <c r="T18" s="12">
        <v>7</v>
      </c>
    </row>
    <row r="19" spans="1:20" ht="23.25" customHeight="1" x14ac:dyDescent="0.3">
      <c r="A19" s="12" t="s">
        <v>161</v>
      </c>
      <c r="B19" s="12" t="s">
        <v>162</v>
      </c>
      <c r="C19" s="12" t="s">
        <v>163</v>
      </c>
      <c r="D19" s="13" t="s">
        <v>164</v>
      </c>
      <c r="E19" s="12" t="s">
        <v>66</v>
      </c>
      <c r="F19" s="12" t="s">
        <v>40</v>
      </c>
      <c r="G19" s="14">
        <v>140.6</v>
      </c>
      <c r="H19" s="13" t="s">
        <v>93</v>
      </c>
      <c r="I19" s="13" t="s">
        <v>79</v>
      </c>
      <c r="J19" s="13" t="s">
        <v>117</v>
      </c>
      <c r="K19" s="13" t="s">
        <v>133</v>
      </c>
      <c r="L19" s="12">
        <v>6</v>
      </c>
      <c r="M19" s="12">
        <v>5</v>
      </c>
      <c r="N19" s="12">
        <v>3</v>
      </c>
      <c r="O19" s="12">
        <v>8</v>
      </c>
      <c r="P19" s="12">
        <v>8</v>
      </c>
      <c r="Q19" s="12">
        <v>2</v>
      </c>
      <c r="R19" s="12">
        <v>6</v>
      </c>
      <c r="S19" s="12" t="s">
        <v>102</v>
      </c>
      <c r="T19" s="12">
        <v>5</v>
      </c>
    </row>
    <row r="20" spans="1:20" ht="23.25" customHeight="1" x14ac:dyDescent="0.3">
      <c r="A20" s="12" t="s">
        <v>165</v>
      </c>
      <c r="B20" s="12" t="s">
        <v>166</v>
      </c>
      <c r="C20" s="12" t="s">
        <v>37</v>
      </c>
      <c r="D20" s="13" t="s">
        <v>167</v>
      </c>
      <c r="E20" s="12" t="s">
        <v>168</v>
      </c>
      <c r="F20" s="12" t="s">
        <v>40</v>
      </c>
      <c r="G20" s="14">
        <v>133.4</v>
      </c>
      <c r="H20" s="13" t="s">
        <v>169</v>
      </c>
      <c r="I20" s="13" t="s">
        <v>159</v>
      </c>
      <c r="J20" s="13" t="s">
        <v>43</v>
      </c>
      <c r="K20" s="13" t="s">
        <v>44</v>
      </c>
      <c r="L20" s="12">
        <v>1</v>
      </c>
      <c r="M20" s="12">
        <v>4</v>
      </c>
      <c r="N20" s="12">
        <v>6</v>
      </c>
      <c r="O20" s="12">
        <v>6</v>
      </c>
      <c r="P20" s="12">
        <v>3</v>
      </c>
      <c r="Q20" s="12">
        <v>5</v>
      </c>
      <c r="R20" s="12">
        <v>9</v>
      </c>
      <c r="S20" s="12" t="s">
        <v>45</v>
      </c>
      <c r="T20" s="12">
        <v>3</v>
      </c>
    </row>
    <row r="21" spans="1:20" ht="23.25" customHeight="1" x14ac:dyDescent="0.3">
      <c r="A21" s="12" t="s">
        <v>170</v>
      </c>
      <c r="B21" s="12" t="s">
        <v>171</v>
      </c>
      <c r="C21" s="12" t="s">
        <v>163</v>
      </c>
      <c r="D21" s="13" t="s">
        <v>164</v>
      </c>
      <c r="E21" s="12" t="s">
        <v>91</v>
      </c>
      <c r="F21" s="12" t="s">
        <v>77</v>
      </c>
      <c r="G21" s="14">
        <v>622.9</v>
      </c>
      <c r="H21" s="13" t="s">
        <v>85</v>
      </c>
      <c r="I21" s="13" t="s">
        <v>132</v>
      </c>
      <c r="J21" s="13" t="s">
        <v>95</v>
      </c>
      <c r="K21" s="13" t="s">
        <v>118</v>
      </c>
      <c r="L21" s="12">
        <v>5</v>
      </c>
      <c r="M21" s="12">
        <v>3</v>
      </c>
      <c r="N21" s="12">
        <v>3</v>
      </c>
      <c r="O21" s="12">
        <v>9</v>
      </c>
      <c r="P21" s="12">
        <v>7</v>
      </c>
      <c r="Q21" s="12">
        <v>3</v>
      </c>
      <c r="R21" s="12">
        <v>6</v>
      </c>
      <c r="S21" s="12" t="s">
        <v>45</v>
      </c>
      <c r="T21" s="12">
        <v>7</v>
      </c>
    </row>
    <row r="22" spans="1:20" ht="23.25" customHeight="1" x14ac:dyDescent="0.3">
      <c r="A22" s="12" t="s">
        <v>172</v>
      </c>
      <c r="B22" s="12" t="s">
        <v>173</v>
      </c>
      <c r="C22" s="12" t="s">
        <v>113</v>
      </c>
      <c r="D22" s="13" t="s">
        <v>174</v>
      </c>
      <c r="E22" s="12" t="s">
        <v>115</v>
      </c>
      <c r="F22" s="12" t="s">
        <v>51</v>
      </c>
      <c r="G22" s="14">
        <v>484.7</v>
      </c>
      <c r="H22" s="13" t="s">
        <v>175</v>
      </c>
      <c r="I22" s="13" t="s">
        <v>176</v>
      </c>
      <c r="J22" s="13" t="s">
        <v>117</v>
      </c>
      <c r="K22" s="13" t="s">
        <v>109</v>
      </c>
      <c r="L22" s="12">
        <v>6</v>
      </c>
      <c r="M22" s="12">
        <v>6</v>
      </c>
      <c r="N22" s="12">
        <v>4</v>
      </c>
      <c r="O22" s="12">
        <v>9</v>
      </c>
      <c r="P22" s="12">
        <v>9</v>
      </c>
      <c r="Q22" s="12">
        <v>3</v>
      </c>
      <c r="R22" s="12">
        <v>9</v>
      </c>
      <c r="S22" s="12" t="s">
        <v>102</v>
      </c>
      <c r="T22" s="12">
        <v>7</v>
      </c>
    </row>
    <row r="23" spans="1:20" ht="23.25" customHeight="1" x14ac:dyDescent="0.3">
      <c r="A23" s="12" t="s">
        <v>177</v>
      </c>
      <c r="B23" s="12" t="s">
        <v>178</v>
      </c>
      <c r="C23" s="12" t="s">
        <v>179</v>
      </c>
      <c r="D23" s="13" t="s">
        <v>180</v>
      </c>
      <c r="E23" s="12" t="s">
        <v>181</v>
      </c>
      <c r="F23" s="12" t="s">
        <v>40</v>
      </c>
      <c r="G23" s="14">
        <v>452.6</v>
      </c>
      <c r="H23" s="13" t="s">
        <v>52</v>
      </c>
      <c r="I23" s="13" t="s">
        <v>182</v>
      </c>
      <c r="J23" s="13" t="s">
        <v>54</v>
      </c>
      <c r="K23" s="13" t="s">
        <v>183</v>
      </c>
      <c r="L23" s="12">
        <v>7</v>
      </c>
      <c r="M23" s="12">
        <v>3</v>
      </c>
      <c r="N23" s="12">
        <v>7</v>
      </c>
      <c r="O23" s="12">
        <v>7</v>
      </c>
      <c r="P23" s="12">
        <v>8</v>
      </c>
      <c r="Q23" s="12">
        <v>3</v>
      </c>
      <c r="R23" s="12">
        <v>6</v>
      </c>
      <c r="S23" s="12" t="s">
        <v>102</v>
      </c>
      <c r="T23" s="12">
        <v>6</v>
      </c>
    </row>
    <row r="24" spans="1:20" ht="23.25" customHeight="1" x14ac:dyDescent="0.3">
      <c r="A24" s="12" t="s">
        <v>184</v>
      </c>
      <c r="B24" s="12" t="s">
        <v>185</v>
      </c>
      <c r="C24" s="12" t="s">
        <v>186</v>
      </c>
      <c r="D24" s="13" t="s">
        <v>187</v>
      </c>
      <c r="E24" s="12" t="s">
        <v>188</v>
      </c>
      <c r="F24" s="12" t="s">
        <v>124</v>
      </c>
      <c r="G24" s="14">
        <v>197.6</v>
      </c>
      <c r="H24" s="13" t="s">
        <v>169</v>
      </c>
      <c r="I24" s="13" t="s">
        <v>182</v>
      </c>
      <c r="J24" s="13" t="s">
        <v>189</v>
      </c>
      <c r="K24" s="13" t="s">
        <v>109</v>
      </c>
      <c r="L24" s="12">
        <v>7</v>
      </c>
      <c r="M24" s="12">
        <v>8</v>
      </c>
      <c r="N24" s="12">
        <v>7</v>
      </c>
      <c r="O24" s="12">
        <v>5</v>
      </c>
      <c r="P24" s="12">
        <v>6</v>
      </c>
      <c r="Q24" s="12">
        <v>8</v>
      </c>
      <c r="R24" s="12">
        <v>6</v>
      </c>
      <c r="S24" s="12" t="s">
        <v>45</v>
      </c>
      <c r="T24" s="12">
        <v>6</v>
      </c>
    </row>
    <row r="25" spans="1:20" ht="23.25" customHeight="1" x14ac:dyDescent="0.3">
      <c r="A25" s="12" t="s">
        <v>190</v>
      </c>
      <c r="B25" s="12" t="s">
        <v>191</v>
      </c>
      <c r="C25" s="12" t="s">
        <v>105</v>
      </c>
      <c r="D25" s="13" t="s">
        <v>192</v>
      </c>
      <c r="E25" s="12" t="s">
        <v>107</v>
      </c>
      <c r="F25" s="12" t="s">
        <v>193</v>
      </c>
      <c r="G25" s="14">
        <v>349.5</v>
      </c>
      <c r="H25" s="13" t="s">
        <v>169</v>
      </c>
      <c r="I25" s="13" t="s">
        <v>194</v>
      </c>
      <c r="J25" s="13" t="s">
        <v>195</v>
      </c>
      <c r="K25" s="13" t="s">
        <v>196</v>
      </c>
      <c r="L25" s="12">
        <v>5</v>
      </c>
      <c r="M25" s="12">
        <v>5</v>
      </c>
      <c r="N25" s="12">
        <v>8</v>
      </c>
      <c r="O25" s="12">
        <v>5</v>
      </c>
      <c r="P25" s="12">
        <v>4</v>
      </c>
      <c r="Q25" s="12">
        <v>3</v>
      </c>
      <c r="R25" s="12">
        <v>7</v>
      </c>
      <c r="S25" s="12" t="s">
        <v>45</v>
      </c>
      <c r="T25" s="12">
        <v>5</v>
      </c>
    </row>
    <row r="26" spans="1:20" ht="23.25" customHeight="1" x14ac:dyDescent="0.3">
      <c r="A26" s="12" t="s">
        <v>197</v>
      </c>
      <c r="B26" s="12" t="s">
        <v>198</v>
      </c>
      <c r="C26" s="12" t="s">
        <v>74</v>
      </c>
      <c r="D26" s="13" t="s">
        <v>75</v>
      </c>
      <c r="E26" s="12" t="s">
        <v>199</v>
      </c>
      <c r="F26" s="12" t="s">
        <v>92</v>
      </c>
      <c r="G26" s="14">
        <v>308.3</v>
      </c>
      <c r="H26" s="13" t="s">
        <v>78</v>
      </c>
      <c r="I26" s="13" t="s">
        <v>182</v>
      </c>
      <c r="J26" s="13" t="s">
        <v>200</v>
      </c>
      <c r="K26" s="13" t="s">
        <v>44</v>
      </c>
      <c r="L26" s="12">
        <v>5</v>
      </c>
      <c r="M26" s="12">
        <v>4</v>
      </c>
      <c r="N26" s="12">
        <v>7</v>
      </c>
      <c r="O26" s="12">
        <v>8</v>
      </c>
      <c r="P26" s="12">
        <v>3</v>
      </c>
      <c r="Q26" s="12">
        <v>5</v>
      </c>
      <c r="R26" s="12">
        <v>6</v>
      </c>
      <c r="S26" s="12" t="s">
        <v>110</v>
      </c>
      <c r="T26" s="12">
        <v>6</v>
      </c>
    </row>
    <row r="27" spans="1:20" ht="23.25" customHeight="1" x14ac:dyDescent="0.3">
      <c r="A27" s="12" t="s">
        <v>201</v>
      </c>
      <c r="B27" s="12" t="s">
        <v>202</v>
      </c>
      <c r="C27" s="12" t="s">
        <v>82</v>
      </c>
      <c r="D27" s="13" t="s">
        <v>203</v>
      </c>
      <c r="E27" s="12" t="s">
        <v>204</v>
      </c>
      <c r="F27" s="12" t="s">
        <v>67</v>
      </c>
      <c r="G27" s="14">
        <v>145.6</v>
      </c>
      <c r="H27" s="13" t="s">
        <v>150</v>
      </c>
      <c r="I27" s="13" t="s">
        <v>132</v>
      </c>
      <c r="J27" s="13" t="s">
        <v>117</v>
      </c>
      <c r="K27" s="13" t="s">
        <v>118</v>
      </c>
      <c r="L27" s="12">
        <v>9</v>
      </c>
      <c r="M27" s="12">
        <v>7</v>
      </c>
      <c r="N27" s="12">
        <v>5</v>
      </c>
      <c r="O27" s="12">
        <v>7</v>
      </c>
      <c r="P27" s="12">
        <v>7</v>
      </c>
      <c r="Q27" s="12">
        <v>7</v>
      </c>
      <c r="R27" s="12">
        <v>7</v>
      </c>
      <c r="S27" s="12" t="s">
        <v>102</v>
      </c>
      <c r="T27" s="12">
        <v>6</v>
      </c>
    </row>
    <row r="28" spans="1:20" ht="23.25" customHeight="1" x14ac:dyDescent="0.3">
      <c r="A28" s="12" t="s">
        <v>205</v>
      </c>
      <c r="B28" s="12" t="s">
        <v>206</v>
      </c>
      <c r="C28" s="12" t="s">
        <v>142</v>
      </c>
      <c r="D28" s="13" t="s">
        <v>143</v>
      </c>
      <c r="E28" s="12" t="s">
        <v>207</v>
      </c>
      <c r="F28" s="12" t="s">
        <v>67</v>
      </c>
      <c r="G28" s="14">
        <v>540.70000000000005</v>
      </c>
      <c r="H28" s="13" t="s">
        <v>93</v>
      </c>
      <c r="I28" s="13" t="s">
        <v>194</v>
      </c>
      <c r="J28" s="13" t="s">
        <v>60</v>
      </c>
      <c r="K28" s="13" t="s">
        <v>133</v>
      </c>
      <c r="L28" s="12">
        <v>4</v>
      </c>
      <c r="M28" s="12">
        <v>8</v>
      </c>
      <c r="N28" s="12">
        <v>3</v>
      </c>
      <c r="O28" s="12">
        <v>7</v>
      </c>
      <c r="P28" s="12">
        <v>6</v>
      </c>
      <c r="Q28" s="12">
        <v>6</v>
      </c>
      <c r="R28" s="12">
        <v>7</v>
      </c>
      <c r="S28" s="12" t="s">
        <v>45</v>
      </c>
      <c r="T28" s="12">
        <v>6</v>
      </c>
    </row>
    <row r="29" spans="1:20" ht="23.25" customHeight="1" x14ac:dyDescent="0.3">
      <c r="A29" s="12" t="s">
        <v>208</v>
      </c>
      <c r="B29" s="12" t="s">
        <v>209</v>
      </c>
      <c r="C29" s="12" t="s">
        <v>210</v>
      </c>
      <c r="D29" s="13" t="s">
        <v>211</v>
      </c>
      <c r="E29" s="12" t="s">
        <v>212</v>
      </c>
      <c r="F29" s="12" t="s">
        <v>77</v>
      </c>
      <c r="G29" s="14">
        <v>624.70000000000005</v>
      </c>
      <c r="H29" s="13" t="s">
        <v>169</v>
      </c>
      <c r="I29" s="13" t="s">
        <v>53</v>
      </c>
      <c r="J29" s="13" t="s">
        <v>189</v>
      </c>
      <c r="K29" s="13" t="s">
        <v>101</v>
      </c>
      <c r="L29" s="12">
        <v>4</v>
      </c>
      <c r="M29" s="12">
        <v>7</v>
      </c>
      <c r="N29" s="12">
        <v>5</v>
      </c>
      <c r="O29" s="12">
        <v>8</v>
      </c>
      <c r="P29" s="12">
        <v>5</v>
      </c>
      <c r="Q29" s="12">
        <v>4</v>
      </c>
      <c r="R29" s="12">
        <v>6</v>
      </c>
      <c r="S29" s="12" t="s">
        <v>110</v>
      </c>
      <c r="T29" s="12">
        <v>9</v>
      </c>
    </row>
    <row r="30" spans="1:20" ht="23.25" customHeight="1" x14ac:dyDescent="0.3">
      <c r="A30" s="12" t="s">
        <v>213</v>
      </c>
      <c r="B30" s="12" t="s">
        <v>214</v>
      </c>
      <c r="C30" s="12" t="s">
        <v>105</v>
      </c>
      <c r="D30" s="13" t="s">
        <v>215</v>
      </c>
      <c r="E30" s="12" t="s">
        <v>216</v>
      </c>
      <c r="F30" s="12" t="s">
        <v>40</v>
      </c>
      <c r="G30" s="14">
        <v>295.8</v>
      </c>
      <c r="H30" s="13" t="s">
        <v>175</v>
      </c>
      <c r="I30" s="13" t="s">
        <v>132</v>
      </c>
      <c r="J30" s="13" t="s">
        <v>200</v>
      </c>
      <c r="K30" s="13" t="s">
        <v>71</v>
      </c>
      <c r="L30" s="12">
        <v>4</v>
      </c>
      <c r="M30" s="12">
        <v>5</v>
      </c>
      <c r="N30" s="12">
        <v>8</v>
      </c>
      <c r="O30" s="12">
        <v>6</v>
      </c>
      <c r="P30" s="12">
        <v>4</v>
      </c>
      <c r="Q30" s="12">
        <v>1</v>
      </c>
      <c r="R30" s="12">
        <v>8</v>
      </c>
      <c r="S30" s="12" t="s">
        <v>45</v>
      </c>
      <c r="T30" s="12">
        <v>5</v>
      </c>
    </row>
    <row r="31" spans="1:20" ht="23.25" customHeight="1" x14ac:dyDescent="0.3">
      <c r="A31" s="12" t="s">
        <v>217</v>
      </c>
      <c r="B31" s="12" t="s">
        <v>218</v>
      </c>
      <c r="C31" s="12" t="s">
        <v>219</v>
      </c>
      <c r="D31" s="13" t="s">
        <v>220</v>
      </c>
      <c r="E31" s="12" t="s">
        <v>221</v>
      </c>
      <c r="F31" s="12" t="s">
        <v>40</v>
      </c>
      <c r="G31" s="14">
        <v>267.10000000000002</v>
      </c>
      <c r="H31" s="13" t="s">
        <v>93</v>
      </c>
      <c r="I31" s="13" t="s">
        <v>42</v>
      </c>
      <c r="J31" s="13" t="s">
        <v>195</v>
      </c>
      <c r="K31" s="13" t="s">
        <v>126</v>
      </c>
      <c r="L31" s="12">
        <v>4</v>
      </c>
      <c r="M31" s="12">
        <v>5</v>
      </c>
      <c r="N31" s="12">
        <v>5</v>
      </c>
      <c r="O31" s="12">
        <v>7</v>
      </c>
      <c r="P31" s="12">
        <v>4</v>
      </c>
      <c r="Q31" s="12">
        <v>2</v>
      </c>
      <c r="R31" s="12">
        <v>6</v>
      </c>
      <c r="S31" s="12" t="s">
        <v>110</v>
      </c>
      <c r="T31" s="12">
        <v>5</v>
      </c>
    </row>
    <row r="32" spans="1:20" ht="23.25" customHeight="1" x14ac:dyDescent="0.3">
      <c r="A32" s="12" t="s">
        <v>222</v>
      </c>
      <c r="B32" s="12" t="s">
        <v>223</v>
      </c>
      <c r="C32" s="12" t="s">
        <v>121</v>
      </c>
      <c r="D32" s="13" t="s">
        <v>122</v>
      </c>
      <c r="E32" s="12" t="s">
        <v>123</v>
      </c>
      <c r="F32" s="12" t="s">
        <v>224</v>
      </c>
      <c r="G32" s="14">
        <v>297.7</v>
      </c>
      <c r="H32" s="13" t="s">
        <v>175</v>
      </c>
      <c r="I32" s="13" t="s">
        <v>94</v>
      </c>
      <c r="J32" s="13" t="s">
        <v>200</v>
      </c>
      <c r="K32" s="13" t="s">
        <v>196</v>
      </c>
      <c r="L32" s="12">
        <v>3</v>
      </c>
      <c r="M32" s="12">
        <v>5</v>
      </c>
      <c r="N32" s="12">
        <v>7</v>
      </c>
      <c r="O32" s="12">
        <v>5</v>
      </c>
      <c r="P32" s="12">
        <v>6</v>
      </c>
      <c r="Q32" s="12">
        <v>6</v>
      </c>
      <c r="R32" s="12">
        <v>10</v>
      </c>
      <c r="S32" s="12" t="s">
        <v>102</v>
      </c>
      <c r="T32" s="12">
        <v>4</v>
      </c>
    </row>
    <row r="33" spans="1:20" ht="23.25" customHeight="1" x14ac:dyDescent="0.3">
      <c r="A33" s="12" t="s">
        <v>225</v>
      </c>
      <c r="B33" s="12" t="s">
        <v>226</v>
      </c>
      <c r="C33" s="12" t="s">
        <v>64</v>
      </c>
      <c r="D33" s="13" t="s">
        <v>98</v>
      </c>
      <c r="E33" s="12" t="s">
        <v>227</v>
      </c>
      <c r="F33" s="12" t="s">
        <v>40</v>
      </c>
      <c r="G33" s="14">
        <v>120.7</v>
      </c>
      <c r="H33" s="13" t="s">
        <v>78</v>
      </c>
      <c r="I33" s="13" t="s">
        <v>182</v>
      </c>
      <c r="J33" s="13" t="s">
        <v>200</v>
      </c>
      <c r="K33" s="13" t="s">
        <v>152</v>
      </c>
      <c r="L33" s="12">
        <v>2</v>
      </c>
      <c r="M33" s="12">
        <v>4</v>
      </c>
      <c r="N33" s="12">
        <v>2</v>
      </c>
      <c r="O33" s="12">
        <v>8</v>
      </c>
      <c r="P33" s="12">
        <v>8</v>
      </c>
      <c r="Q33" s="12">
        <v>3</v>
      </c>
      <c r="R33" s="12">
        <v>3</v>
      </c>
      <c r="S33" s="12" t="s">
        <v>110</v>
      </c>
      <c r="T33" s="12">
        <v>5</v>
      </c>
    </row>
    <row r="34" spans="1:20" ht="23.25" customHeight="1" x14ac:dyDescent="0.3">
      <c r="A34" s="12" t="s">
        <v>228</v>
      </c>
      <c r="B34" s="12" t="s">
        <v>229</v>
      </c>
      <c r="C34" s="12" t="s">
        <v>105</v>
      </c>
      <c r="D34" s="13" t="s">
        <v>192</v>
      </c>
      <c r="E34" s="12" t="s">
        <v>230</v>
      </c>
      <c r="F34" s="12" t="s">
        <v>77</v>
      </c>
      <c r="G34" s="14">
        <v>38.1</v>
      </c>
      <c r="H34" s="13" t="s">
        <v>175</v>
      </c>
      <c r="I34" s="13" t="s">
        <v>79</v>
      </c>
      <c r="J34" s="13" t="s">
        <v>43</v>
      </c>
      <c r="K34" s="13" t="s">
        <v>55</v>
      </c>
      <c r="L34" s="12">
        <v>5</v>
      </c>
      <c r="M34" s="12">
        <v>5</v>
      </c>
      <c r="N34" s="12">
        <v>8</v>
      </c>
      <c r="O34" s="12">
        <v>7</v>
      </c>
      <c r="P34" s="12">
        <v>2</v>
      </c>
      <c r="Q34" s="12">
        <v>3</v>
      </c>
      <c r="R34" s="12">
        <v>6</v>
      </c>
      <c r="S34" s="12" t="s">
        <v>110</v>
      </c>
      <c r="T34" s="12">
        <v>5</v>
      </c>
    </row>
    <row r="35" spans="1:20" ht="23.25" customHeight="1" x14ac:dyDescent="0.3">
      <c r="A35" s="12" t="s">
        <v>231</v>
      </c>
      <c r="B35" s="12" t="s">
        <v>232</v>
      </c>
      <c r="C35" s="12" t="s">
        <v>82</v>
      </c>
      <c r="D35" s="13" t="s">
        <v>233</v>
      </c>
      <c r="E35" s="12" t="s">
        <v>234</v>
      </c>
      <c r="F35" s="12" t="s">
        <v>235</v>
      </c>
      <c r="G35" s="14">
        <v>250.3</v>
      </c>
      <c r="H35" s="13" t="s">
        <v>93</v>
      </c>
      <c r="I35" s="13" t="s">
        <v>176</v>
      </c>
      <c r="J35" s="13" t="s">
        <v>117</v>
      </c>
      <c r="K35" s="13" t="s">
        <v>236</v>
      </c>
      <c r="L35" s="12">
        <v>10</v>
      </c>
      <c r="M35" s="12">
        <v>5</v>
      </c>
      <c r="N35" s="12">
        <v>6</v>
      </c>
      <c r="O35" s="12">
        <v>7</v>
      </c>
      <c r="P35" s="12">
        <v>6</v>
      </c>
      <c r="Q35" s="12">
        <v>7</v>
      </c>
      <c r="R35" s="12">
        <v>8</v>
      </c>
      <c r="S35" s="12" t="s">
        <v>102</v>
      </c>
      <c r="T35" s="12">
        <v>5</v>
      </c>
    </row>
    <row r="36" spans="1:20" ht="23.25" customHeight="1" x14ac:dyDescent="0.3">
      <c r="A36" s="12" t="s">
        <v>237</v>
      </c>
      <c r="B36" s="12" t="s">
        <v>238</v>
      </c>
      <c r="C36" s="12" t="s">
        <v>89</v>
      </c>
      <c r="D36" s="13" t="s">
        <v>136</v>
      </c>
      <c r="E36" s="12" t="s">
        <v>91</v>
      </c>
      <c r="F36" s="12" t="s">
        <v>67</v>
      </c>
      <c r="G36" s="14">
        <v>106</v>
      </c>
      <c r="H36" s="13" t="s">
        <v>175</v>
      </c>
      <c r="I36" s="13" t="s">
        <v>239</v>
      </c>
      <c r="J36" s="13" t="s">
        <v>240</v>
      </c>
      <c r="K36" s="13" t="s">
        <v>236</v>
      </c>
      <c r="L36" s="12">
        <v>3</v>
      </c>
      <c r="M36" s="12">
        <v>6</v>
      </c>
      <c r="N36" s="12">
        <v>6</v>
      </c>
      <c r="O36" s="12">
        <v>4</v>
      </c>
      <c r="P36" s="12">
        <v>4</v>
      </c>
      <c r="Q36" s="12">
        <v>1</v>
      </c>
      <c r="R36" s="12">
        <v>7</v>
      </c>
      <c r="S36" s="12" t="s">
        <v>45</v>
      </c>
      <c r="T36" s="12">
        <v>3</v>
      </c>
    </row>
    <row r="37" spans="1:20" ht="23.25" customHeight="1" x14ac:dyDescent="0.3">
      <c r="A37" s="12" t="s">
        <v>241</v>
      </c>
      <c r="B37" s="12" t="s">
        <v>242</v>
      </c>
      <c r="C37" s="12" t="s">
        <v>142</v>
      </c>
      <c r="D37" s="13" t="s">
        <v>243</v>
      </c>
      <c r="E37" s="12" t="s">
        <v>66</v>
      </c>
      <c r="F37" s="12" t="s">
        <v>116</v>
      </c>
      <c r="G37" s="14">
        <v>590.9</v>
      </c>
      <c r="H37" s="13" t="s">
        <v>52</v>
      </c>
      <c r="I37" s="13" t="s">
        <v>159</v>
      </c>
      <c r="J37" s="13" t="s">
        <v>117</v>
      </c>
      <c r="K37" s="13" t="s">
        <v>133</v>
      </c>
      <c r="L37" s="12">
        <v>6</v>
      </c>
      <c r="M37" s="12">
        <v>5</v>
      </c>
      <c r="N37" s="12">
        <v>3</v>
      </c>
      <c r="O37" s="12">
        <v>5</v>
      </c>
      <c r="P37" s="12">
        <v>6</v>
      </c>
      <c r="Q37" s="12">
        <v>5</v>
      </c>
      <c r="R37" s="12">
        <v>6</v>
      </c>
      <c r="S37" s="12" t="s">
        <v>45</v>
      </c>
      <c r="T37" s="12">
        <v>4</v>
      </c>
    </row>
    <row r="38" spans="1:20" ht="23.25" customHeight="1" x14ac:dyDescent="0.3">
      <c r="A38" s="12" t="s">
        <v>244</v>
      </c>
      <c r="B38" s="12" t="s">
        <v>245</v>
      </c>
      <c r="C38" s="12" t="s">
        <v>105</v>
      </c>
      <c r="D38" s="13" t="s">
        <v>106</v>
      </c>
      <c r="E38" s="12" t="s">
        <v>246</v>
      </c>
      <c r="F38" s="12" t="s">
        <v>235</v>
      </c>
      <c r="G38" s="14">
        <v>394.4</v>
      </c>
      <c r="H38" s="13" t="s">
        <v>85</v>
      </c>
      <c r="I38" s="13" t="s">
        <v>239</v>
      </c>
      <c r="J38" s="13" t="s">
        <v>70</v>
      </c>
      <c r="K38" s="13" t="s">
        <v>126</v>
      </c>
      <c r="L38" s="12">
        <v>1</v>
      </c>
      <c r="M38" s="12">
        <v>4</v>
      </c>
      <c r="N38" s="12">
        <v>8</v>
      </c>
      <c r="O38" s="12">
        <v>8</v>
      </c>
      <c r="P38" s="12">
        <v>4</v>
      </c>
      <c r="Q38" s="12">
        <v>1</v>
      </c>
      <c r="R38" s="12">
        <v>9</v>
      </c>
      <c r="S38" s="12" t="s">
        <v>45</v>
      </c>
      <c r="T38" s="12">
        <v>7</v>
      </c>
    </row>
    <row r="39" spans="1:20" ht="23.25" customHeight="1" x14ac:dyDescent="0.3">
      <c r="A39" s="12" t="s">
        <v>247</v>
      </c>
      <c r="B39" s="12" t="s">
        <v>248</v>
      </c>
      <c r="C39" s="12" t="s">
        <v>142</v>
      </c>
      <c r="D39" s="13" t="s">
        <v>143</v>
      </c>
      <c r="E39" s="12" t="s">
        <v>144</v>
      </c>
      <c r="F39" s="12" t="s">
        <v>116</v>
      </c>
      <c r="G39" s="14">
        <v>322.2</v>
      </c>
      <c r="H39" s="13" t="s">
        <v>78</v>
      </c>
      <c r="I39" s="13" t="s">
        <v>239</v>
      </c>
      <c r="J39" s="13" t="s">
        <v>125</v>
      </c>
      <c r="K39" s="13" t="s">
        <v>249</v>
      </c>
      <c r="L39" s="12">
        <v>3</v>
      </c>
      <c r="M39" s="12">
        <v>6</v>
      </c>
      <c r="N39" s="12">
        <v>3</v>
      </c>
      <c r="O39" s="12">
        <v>7</v>
      </c>
      <c r="P39" s="12">
        <v>6</v>
      </c>
      <c r="Q39" s="12">
        <v>4</v>
      </c>
      <c r="R39" s="12">
        <v>8</v>
      </c>
      <c r="S39" s="12" t="s">
        <v>102</v>
      </c>
      <c r="T39" s="12">
        <v>5</v>
      </c>
    </row>
    <row r="40" spans="1:20" ht="23.25" customHeight="1" x14ac:dyDescent="0.3">
      <c r="A40" s="12" t="s">
        <v>250</v>
      </c>
      <c r="B40" s="12" t="s">
        <v>251</v>
      </c>
      <c r="C40" s="12" t="s">
        <v>163</v>
      </c>
      <c r="D40" s="13" t="s">
        <v>252</v>
      </c>
      <c r="E40" s="12" t="s">
        <v>253</v>
      </c>
      <c r="F40" s="12" t="s">
        <v>224</v>
      </c>
      <c r="G40" s="14">
        <v>630.79999999999995</v>
      </c>
      <c r="H40" s="13" t="s">
        <v>93</v>
      </c>
      <c r="I40" s="13" t="s">
        <v>53</v>
      </c>
      <c r="J40" s="13" t="s">
        <v>240</v>
      </c>
      <c r="K40" s="13" t="s">
        <v>249</v>
      </c>
      <c r="L40" s="12">
        <v>5</v>
      </c>
      <c r="M40" s="12">
        <v>5</v>
      </c>
      <c r="N40" s="12">
        <v>6</v>
      </c>
      <c r="O40" s="12">
        <v>9</v>
      </c>
      <c r="P40" s="12">
        <v>7</v>
      </c>
      <c r="Q40" s="12">
        <v>2</v>
      </c>
      <c r="R40" s="12">
        <v>4</v>
      </c>
      <c r="S40" s="12" t="s">
        <v>45</v>
      </c>
      <c r="T40" s="12">
        <v>9</v>
      </c>
    </row>
    <row r="41" spans="1:20" ht="23.25" customHeight="1" x14ac:dyDescent="0.3">
      <c r="A41" s="12" t="s">
        <v>254</v>
      </c>
      <c r="B41" s="12" t="s">
        <v>255</v>
      </c>
      <c r="C41" s="12" t="s">
        <v>89</v>
      </c>
      <c r="D41" s="13" t="s">
        <v>136</v>
      </c>
      <c r="E41" s="12" t="s">
        <v>256</v>
      </c>
      <c r="F41" s="12" t="s">
        <v>257</v>
      </c>
      <c r="G41" s="14">
        <v>455.4</v>
      </c>
      <c r="H41" s="13" t="s">
        <v>258</v>
      </c>
      <c r="I41" s="13" t="s">
        <v>79</v>
      </c>
      <c r="J41" s="13" t="s">
        <v>95</v>
      </c>
      <c r="K41" s="13" t="s">
        <v>55</v>
      </c>
      <c r="L41" s="12">
        <v>1</v>
      </c>
      <c r="M41" s="12">
        <v>7</v>
      </c>
      <c r="N41" s="12">
        <v>6</v>
      </c>
      <c r="O41" s="12">
        <v>5</v>
      </c>
      <c r="P41" s="12">
        <v>4</v>
      </c>
      <c r="Q41" s="12">
        <v>2</v>
      </c>
      <c r="R41" s="12">
        <v>6</v>
      </c>
      <c r="S41" s="12" t="s">
        <v>110</v>
      </c>
      <c r="T41" s="12">
        <v>6</v>
      </c>
    </row>
    <row r="42" spans="1:20" ht="23.25" customHeight="1" x14ac:dyDescent="0.3">
      <c r="A42" s="12" t="s">
        <v>259</v>
      </c>
      <c r="B42" s="12" t="s">
        <v>260</v>
      </c>
      <c r="C42" s="12" t="s">
        <v>74</v>
      </c>
      <c r="D42" s="13" t="s">
        <v>261</v>
      </c>
      <c r="E42" s="12" t="s">
        <v>199</v>
      </c>
      <c r="F42" s="12" t="s">
        <v>257</v>
      </c>
      <c r="G42" s="14">
        <v>316.2</v>
      </c>
      <c r="H42" s="13" t="s">
        <v>78</v>
      </c>
      <c r="I42" s="13" t="s">
        <v>159</v>
      </c>
      <c r="J42" s="13" t="s">
        <v>195</v>
      </c>
      <c r="K42" s="13" t="s">
        <v>183</v>
      </c>
      <c r="L42" s="12">
        <v>4</v>
      </c>
      <c r="M42" s="12">
        <v>6</v>
      </c>
      <c r="N42" s="12">
        <v>4</v>
      </c>
      <c r="O42" s="12">
        <v>8</v>
      </c>
      <c r="P42" s="12">
        <v>5</v>
      </c>
      <c r="Q42" s="12">
        <v>4</v>
      </c>
      <c r="R42" s="12">
        <v>7</v>
      </c>
      <c r="S42" s="12" t="s">
        <v>45</v>
      </c>
      <c r="T42" s="12">
        <v>5</v>
      </c>
    </row>
    <row r="43" spans="1:20" ht="23.25" customHeight="1" x14ac:dyDescent="0.3">
      <c r="A43" s="12" t="s">
        <v>262</v>
      </c>
      <c r="B43" s="12" t="s">
        <v>263</v>
      </c>
      <c r="C43" s="12" t="s">
        <v>186</v>
      </c>
      <c r="D43" s="13" t="s">
        <v>264</v>
      </c>
      <c r="E43" s="12" t="s">
        <v>265</v>
      </c>
      <c r="F43" s="12" t="s">
        <v>235</v>
      </c>
      <c r="G43" s="14">
        <v>545.20000000000005</v>
      </c>
      <c r="H43" s="13" t="s">
        <v>78</v>
      </c>
      <c r="I43" s="13" t="s">
        <v>176</v>
      </c>
      <c r="J43" s="13" t="s">
        <v>139</v>
      </c>
      <c r="K43" s="13" t="s">
        <v>61</v>
      </c>
      <c r="L43" s="12">
        <v>7</v>
      </c>
      <c r="M43" s="12">
        <v>7</v>
      </c>
      <c r="N43" s="12">
        <v>7</v>
      </c>
      <c r="O43" s="12">
        <v>5</v>
      </c>
      <c r="P43" s="12">
        <v>5</v>
      </c>
      <c r="Q43" s="12">
        <v>6</v>
      </c>
      <c r="R43" s="12">
        <v>5</v>
      </c>
      <c r="S43" s="12" t="s">
        <v>45</v>
      </c>
      <c r="T43" s="12">
        <v>7</v>
      </c>
    </row>
    <row r="44" spans="1:20" ht="23.25" customHeight="1" x14ac:dyDescent="0.3">
      <c r="A44" s="12" t="s">
        <v>266</v>
      </c>
      <c r="B44" s="12" t="s">
        <v>267</v>
      </c>
      <c r="C44" s="12" t="s">
        <v>113</v>
      </c>
      <c r="D44" s="13" t="s">
        <v>268</v>
      </c>
      <c r="E44" s="12" t="s">
        <v>115</v>
      </c>
      <c r="F44" s="12" t="s">
        <v>145</v>
      </c>
      <c r="G44" s="14">
        <v>485.3</v>
      </c>
      <c r="H44" s="13" t="s">
        <v>99</v>
      </c>
      <c r="I44" s="13" t="s">
        <v>194</v>
      </c>
      <c r="J44" s="13" t="s">
        <v>54</v>
      </c>
      <c r="K44" s="13" t="s">
        <v>55</v>
      </c>
      <c r="L44" s="12">
        <v>7</v>
      </c>
      <c r="M44" s="12">
        <v>8</v>
      </c>
      <c r="N44" s="12">
        <v>5</v>
      </c>
      <c r="O44" s="12">
        <v>9</v>
      </c>
      <c r="P44" s="12">
        <v>9</v>
      </c>
      <c r="Q44" s="12">
        <v>5</v>
      </c>
      <c r="R44" s="12">
        <v>8</v>
      </c>
      <c r="S44" s="12" t="s">
        <v>102</v>
      </c>
      <c r="T44" s="12">
        <v>8</v>
      </c>
    </row>
    <row r="45" spans="1:20" ht="23.25" customHeight="1" x14ac:dyDescent="0.3">
      <c r="A45" s="12" t="s">
        <v>269</v>
      </c>
      <c r="B45" s="12" t="s">
        <v>270</v>
      </c>
      <c r="C45" s="12" t="s">
        <v>129</v>
      </c>
      <c r="D45" s="13" t="s">
        <v>271</v>
      </c>
      <c r="E45" s="12" t="s">
        <v>137</v>
      </c>
      <c r="F45" s="12" t="s">
        <v>235</v>
      </c>
      <c r="G45" s="14">
        <v>269.39999999999998</v>
      </c>
      <c r="H45" s="13" t="s">
        <v>78</v>
      </c>
      <c r="I45" s="13" t="s">
        <v>69</v>
      </c>
      <c r="J45" s="13" t="s">
        <v>189</v>
      </c>
      <c r="K45" s="13" t="s">
        <v>109</v>
      </c>
      <c r="L45" s="12">
        <v>6</v>
      </c>
      <c r="M45" s="12">
        <v>5</v>
      </c>
      <c r="N45" s="12">
        <v>5</v>
      </c>
      <c r="O45" s="12">
        <v>9</v>
      </c>
      <c r="P45" s="12">
        <v>7</v>
      </c>
      <c r="Q45" s="12">
        <v>4</v>
      </c>
      <c r="R45" s="12">
        <v>6</v>
      </c>
      <c r="S45" s="12" t="s">
        <v>45</v>
      </c>
      <c r="T45" s="12">
        <v>7</v>
      </c>
    </row>
    <row r="46" spans="1:20" ht="23.25" customHeight="1" x14ac:dyDescent="0.3">
      <c r="A46" s="12" t="s">
        <v>272</v>
      </c>
      <c r="B46" s="12" t="s">
        <v>273</v>
      </c>
      <c r="C46" s="12" t="s">
        <v>37</v>
      </c>
      <c r="D46" s="13" t="s">
        <v>274</v>
      </c>
      <c r="E46" s="12" t="s">
        <v>59</v>
      </c>
      <c r="F46" s="12" t="s">
        <v>116</v>
      </c>
      <c r="G46" s="14">
        <v>599</v>
      </c>
      <c r="H46" s="13" t="s">
        <v>150</v>
      </c>
      <c r="I46" s="13" t="s">
        <v>194</v>
      </c>
      <c r="J46" s="13" t="s">
        <v>240</v>
      </c>
      <c r="K46" s="13" t="s">
        <v>249</v>
      </c>
      <c r="L46" s="12">
        <v>5</v>
      </c>
      <c r="M46" s="12">
        <v>6</v>
      </c>
      <c r="N46" s="12">
        <v>6</v>
      </c>
      <c r="O46" s="12">
        <v>3</v>
      </c>
      <c r="P46" s="12">
        <v>6</v>
      </c>
      <c r="Q46" s="12">
        <v>6</v>
      </c>
      <c r="R46" s="12">
        <v>8</v>
      </c>
      <c r="S46" s="12" t="s">
        <v>102</v>
      </c>
      <c r="T46" s="12">
        <v>5</v>
      </c>
    </row>
    <row r="47" spans="1:20" ht="23.25" customHeight="1" x14ac:dyDescent="0.3">
      <c r="A47" s="12" t="s">
        <v>275</v>
      </c>
      <c r="B47" s="12" t="s">
        <v>276</v>
      </c>
      <c r="C47" s="12" t="s">
        <v>219</v>
      </c>
      <c r="D47" s="13" t="s">
        <v>277</v>
      </c>
      <c r="E47" s="12" t="s">
        <v>278</v>
      </c>
      <c r="F47" s="12" t="s">
        <v>40</v>
      </c>
      <c r="G47" s="14">
        <v>270.8</v>
      </c>
      <c r="H47" s="13" t="s">
        <v>93</v>
      </c>
      <c r="I47" s="13" t="s">
        <v>108</v>
      </c>
      <c r="J47" s="13" t="s">
        <v>95</v>
      </c>
      <c r="K47" s="13" t="s">
        <v>152</v>
      </c>
      <c r="L47" s="12">
        <v>5</v>
      </c>
      <c r="M47" s="12">
        <v>5</v>
      </c>
      <c r="N47" s="12">
        <v>4</v>
      </c>
      <c r="O47" s="12">
        <v>6</v>
      </c>
      <c r="P47" s="12">
        <v>4</v>
      </c>
      <c r="Q47" s="12">
        <v>5</v>
      </c>
      <c r="R47" s="12">
        <v>7</v>
      </c>
      <c r="S47" s="12" t="s">
        <v>45</v>
      </c>
      <c r="T47" s="12">
        <v>4</v>
      </c>
    </row>
    <row r="48" spans="1:20" ht="23.25" customHeight="1" x14ac:dyDescent="0.3">
      <c r="A48" s="12" t="s">
        <v>279</v>
      </c>
      <c r="B48" s="12" t="s">
        <v>280</v>
      </c>
      <c r="C48" s="12" t="s">
        <v>48</v>
      </c>
      <c r="D48" s="13" t="s">
        <v>281</v>
      </c>
      <c r="E48" s="12" t="s">
        <v>278</v>
      </c>
      <c r="F48" s="12" t="s">
        <v>282</v>
      </c>
      <c r="G48" s="14">
        <v>106.9</v>
      </c>
      <c r="H48" s="13" t="s">
        <v>169</v>
      </c>
      <c r="I48" s="13" t="s">
        <v>79</v>
      </c>
      <c r="J48" s="13" t="s">
        <v>43</v>
      </c>
      <c r="K48" s="13" t="s">
        <v>160</v>
      </c>
      <c r="L48" s="12">
        <v>4</v>
      </c>
      <c r="M48" s="12">
        <v>4</v>
      </c>
      <c r="N48" s="12">
        <v>7</v>
      </c>
      <c r="O48" s="12">
        <v>8</v>
      </c>
      <c r="P48" s="12">
        <v>5</v>
      </c>
      <c r="Q48" s="12">
        <v>3</v>
      </c>
      <c r="R48" s="12">
        <v>9</v>
      </c>
      <c r="S48" s="12" t="s">
        <v>102</v>
      </c>
      <c r="T48" s="12">
        <v>4</v>
      </c>
    </row>
    <row r="49" spans="1:20" ht="23.25" customHeight="1" x14ac:dyDescent="0.3">
      <c r="A49" s="12" t="s">
        <v>283</v>
      </c>
      <c r="B49" s="12" t="s">
        <v>284</v>
      </c>
      <c r="C49" s="12" t="s">
        <v>105</v>
      </c>
      <c r="D49" s="13" t="s">
        <v>285</v>
      </c>
      <c r="E49" s="12" t="s">
        <v>216</v>
      </c>
      <c r="F49" s="12" t="s">
        <v>286</v>
      </c>
      <c r="G49" s="14">
        <v>429.6</v>
      </c>
      <c r="H49" s="13" t="s">
        <v>85</v>
      </c>
      <c r="I49" s="13" t="s">
        <v>176</v>
      </c>
      <c r="J49" s="13" t="s">
        <v>200</v>
      </c>
      <c r="K49" s="13" t="s">
        <v>196</v>
      </c>
      <c r="L49" s="12">
        <v>2</v>
      </c>
      <c r="M49" s="12">
        <v>5</v>
      </c>
      <c r="N49" s="12">
        <v>8</v>
      </c>
      <c r="O49" s="12">
        <v>8</v>
      </c>
      <c r="P49" s="12">
        <v>2</v>
      </c>
      <c r="Q49" s="12">
        <v>2</v>
      </c>
      <c r="R49" s="12">
        <v>8</v>
      </c>
      <c r="S49" s="12" t="s">
        <v>110</v>
      </c>
      <c r="T49" s="12">
        <v>8</v>
      </c>
    </row>
    <row r="50" spans="1:20" ht="23.25" customHeight="1" x14ac:dyDescent="0.3">
      <c r="A50" s="12" t="s">
        <v>287</v>
      </c>
      <c r="B50" s="12" t="s">
        <v>288</v>
      </c>
      <c r="C50" s="12" t="s">
        <v>48</v>
      </c>
      <c r="D50" s="13" t="s">
        <v>289</v>
      </c>
      <c r="E50" s="12" t="s">
        <v>290</v>
      </c>
      <c r="F50" s="12" t="s">
        <v>116</v>
      </c>
      <c r="G50" s="14">
        <v>442.2</v>
      </c>
      <c r="H50" s="13" t="s">
        <v>52</v>
      </c>
      <c r="I50" s="13" t="s">
        <v>291</v>
      </c>
      <c r="J50" s="13" t="s">
        <v>60</v>
      </c>
      <c r="K50" s="13" t="s">
        <v>183</v>
      </c>
      <c r="L50" s="12">
        <v>5</v>
      </c>
      <c r="M50" s="12">
        <v>6</v>
      </c>
      <c r="N50" s="12">
        <v>8</v>
      </c>
      <c r="O50" s="12">
        <v>8</v>
      </c>
      <c r="P50" s="12">
        <v>7</v>
      </c>
      <c r="Q50" s="12">
        <v>5</v>
      </c>
      <c r="R50" s="12">
        <v>7</v>
      </c>
      <c r="S50" s="12" t="s">
        <v>45</v>
      </c>
      <c r="T50" s="12">
        <v>8</v>
      </c>
    </row>
    <row r="51" spans="1:20" ht="23.25" customHeight="1" x14ac:dyDescent="0.3">
      <c r="A51" s="12" t="s">
        <v>292</v>
      </c>
      <c r="B51" s="12" t="s">
        <v>293</v>
      </c>
      <c r="C51" s="12" t="s">
        <v>219</v>
      </c>
      <c r="D51" s="13" t="s">
        <v>277</v>
      </c>
      <c r="E51" s="12" t="s">
        <v>278</v>
      </c>
      <c r="F51" s="12" t="s">
        <v>40</v>
      </c>
      <c r="G51" s="14">
        <v>512.29999999999995</v>
      </c>
      <c r="H51" s="13" t="s">
        <v>78</v>
      </c>
      <c r="I51" s="13" t="s">
        <v>194</v>
      </c>
      <c r="J51" s="13" t="s">
        <v>240</v>
      </c>
      <c r="K51" s="13" t="s">
        <v>55</v>
      </c>
      <c r="L51" s="12">
        <v>6</v>
      </c>
      <c r="M51" s="12">
        <v>5</v>
      </c>
      <c r="N51" s="12">
        <v>5</v>
      </c>
      <c r="O51" s="12">
        <v>5</v>
      </c>
      <c r="P51" s="12">
        <v>3</v>
      </c>
      <c r="Q51" s="12">
        <v>6</v>
      </c>
      <c r="R51" s="12">
        <v>9</v>
      </c>
      <c r="S51" s="12" t="s">
        <v>45</v>
      </c>
      <c r="T51" s="12">
        <v>5</v>
      </c>
    </row>
    <row r="52" spans="1:20" ht="23.25" customHeight="1" x14ac:dyDescent="0.3">
      <c r="A52" s="12" t="s">
        <v>294</v>
      </c>
      <c r="B52" s="12" t="s">
        <v>295</v>
      </c>
      <c r="C52" s="12" t="s">
        <v>48</v>
      </c>
      <c r="D52" s="13" t="s">
        <v>296</v>
      </c>
      <c r="E52" s="12" t="s">
        <v>290</v>
      </c>
      <c r="F52" s="12" t="s">
        <v>92</v>
      </c>
      <c r="G52" s="14">
        <v>472.1</v>
      </c>
      <c r="H52" s="13" t="s">
        <v>93</v>
      </c>
      <c r="I52" s="13" t="s">
        <v>108</v>
      </c>
      <c r="J52" s="13" t="s">
        <v>200</v>
      </c>
      <c r="K52" s="13" t="s">
        <v>160</v>
      </c>
      <c r="L52" s="12">
        <v>6</v>
      </c>
      <c r="M52" s="12">
        <v>7</v>
      </c>
      <c r="N52" s="12">
        <v>8</v>
      </c>
      <c r="O52" s="12">
        <v>6</v>
      </c>
      <c r="P52" s="12">
        <v>6</v>
      </c>
      <c r="Q52" s="12">
        <v>2</v>
      </c>
      <c r="R52" s="12">
        <v>8</v>
      </c>
      <c r="S52" s="12" t="s">
        <v>102</v>
      </c>
      <c r="T52" s="12">
        <v>7</v>
      </c>
    </row>
    <row r="53" spans="1:20" ht="23.25" customHeight="1" x14ac:dyDescent="0.3">
      <c r="A53" s="12" t="s">
        <v>297</v>
      </c>
      <c r="B53" s="12" t="s">
        <v>298</v>
      </c>
      <c r="C53" s="12" t="s">
        <v>163</v>
      </c>
      <c r="D53" s="13" t="s">
        <v>299</v>
      </c>
      <c r="E53" s="12" t="s">
        <v>300</v>
      </c>
      <c r="F53" s="12" t="s">
        <v>145</v>
      </c>
      <c r="G53" s="14">
        <v>575.29999999999995</v>
      </c>
      <c r="H53" s="13" t="s">
        <v>150</v>
      </c>
      <c r="I53" s="13" t="s">
        <v>108</v>
      </c>
      <c r="J53" s="13" t="s">
        <v>95</v>
      </c>
      <c r="K53" s="13" t="s">
        <v>55</v>
      </c>
      <c r="L53" s="12">
        <v>5</v>
      </c>
      <c r="M53" s="12">
        <v>7</v>
      </c>
      <c r="N53" s="12">
        <v>3</v>
      </c>
      <c r="O53" s="12">
        <v>6</v>
      </c>
      <c r="P53" s="12">
        <v>8</v>
      </c>
      <c r="Q53" s="12">
        <v>4</v>
      </c>
      <c r="R53" s="12">
        <v>4</v>
      </c>
      <c r="S53" s="12" t="s">
        <v>45</v>
      </c>
      <c r="T53" s="12">
        <v>6</v>
      </c>
    </row>
    <row r="54" spans="1:20" ht="23.25" customHeight="1" x14ac:dyDescent="0.3">
      <c r="A54" s="12" t="s">
        <v>301</v>
      </c>
      <c r="B54" s="12" t="s">
        <v>302</v>
      </c>
      <c r="C54" s="12" t="s">
        <v>186</v>
      </c>
      <c r="D54" s="13" t="s">
        <v>303</v>
      </c>
      <c r="E54" s="12" t="s">
        <v>149</v>
      </c>
      <c r="F54" s="12" t="s">
        <v>224</v>
      </c>
      <c r="G54" s="14">
        <v>244.3</v>
      </c>
      <c r="H54" s="13" t="s">
        <v>175</v>
      </c>
      <c r="I54" s="13" t="s">
        <v>182</v>
      </c>
      <c r="J54" s="13" t="s">
        <v>139</v>
      </c>
      <c r="K54" s="13" t="s">
        <v>109</v>
      </c>
      <c r="L54" s="12">
        <v>9</v>
      </c>
      <c r="M54" s="12">
        <v>7</v>
      </c>
      <c r="N54" s="12">
        <v>6</v>
      </c>
      <c r="O54" s="12">
        <v>5</v>
      </c>
      <c r="P54" s="12">
        <v>6</v>
      </c>
      <c r="Q54" s="12">
        <v>9</v>
      </c>
      <c r="R54" s="12">
        <v>5</v>
      </c>
      <c r="S54" s="12" t="s">
        <v>45</v>
      </c>
      <c r="T54" s="12">
        <v>6</v>
      </c>
    </row>
    <row r="55" spans="1:20" ht="23.25" customHeight="1" x14ac:dyDescent="0.3">
      <c r="A55" s="12" t="s">
        <v>304</v>
      </c>
      <c r="B55" s="12" t="s">
        <v>305</v>
      </c>
      <c r="C55" s="12" t="s">
        <v>142</v>
      </c>
      <c r="D55" s="13" t="s">
        <v>306</v>
      </c>
      <c r="E55" s="12" t="s">
        <v>66</v>
      </c>
      <c r="F55" s="12" t="s">
        <v>92</v>
      </c>
      <c r="G55" s="14">
        <v>69.099999999999994</v>
      </c>
      <c r="H55" s="13" t="s">
        <v>93</v>
      </c>
      <c r="I55" s="13" t="s">
        <v>176</v>
      </c>
      <c r="J55" s="13" t="s">
        <v>100</v>
      </c>
      <c r="K55" s="13" t="s">
        <v>236</v>
      </c>
      <c r="L55" s="12">
        <v>6</v>
      </c>
      <c r="M55" s="12">
        <v>7</v>
      </c>
      <c r="N55" s="12">
        <v>6</v>
      </c>
      <c r="O55" s="12">
        <v>5</v>
      </c>
      <c r="P55" s="12">
        <v>5</v>
      </c>
      <c r="Q55" s="12">
        <v>4</v>
      </c>
      <c r="R55" s="12">
        <v>5</v>
      </c>
      <c r="S55" s="12" t="s">
        <v>45</v>
      </c>
      <c r="T55" s="12">
        <v>5</v>
      </c>
    </row>
    <row r="56" spans="1:20" ht="23.25" customHeight="1" x14ac:dyDescent="0.3">
      <c r="A56" s="12" t="s">
        <v>307</v>
      </c>
      <c r="B56" s="12" t="s">
        <v>308</v>
      </c>
      <c r="C56" s="12" t="s">
        <v>186</v>
      </c>
      <c r="D56" s="13" t="s">
        <v>264</v>
      </c>
      <c r="E56" s="12" t="s">
        <v>265</v>
      </c>
      <c r="F56" s="12" t="s">
        <v>40</v>
      </c>
      <c r="G56" s="14">
        <v>86.2</v>
      </c>
      <c r="H56" s="13" t="s">
        <v>150</v>
      </c>
      <c r="I56" s="13" t="s">
        <v>108</v>
      </c>
      <c r="J56" s="13" t="s">
        <v>54</v>
      </c>
      <c r="K56" s="13" t="s">
        <v>44</v>
      </c>
      <c r="L56" s="12">
        <v>7</v>
      </c>
      <c r="M56" s="12">
        <v>4</v>
      </c>
      <c r="N56" s="12">
        <v>7</v>
      </c>
      <c r="O56" s="12">
        <v>4</v>
      </c>
      <c r="P56" s="12">
        <v>4</v>
      </c>
      <c r="Q56" s="12">
        <v>8</v>
      </c>
      <c r="R56" s="12">
        <v>3</v>
      </c>
      <c r="S56" s="12" t="s">
        <v>45</v>
      </c>
      <c r="T56" s="12">
        <v>3</v>
      </c>
    </row>
    <row r="57" spans="1:20" ht="23.25" customHeight="1" x14ac:dyDescent="0.3">
      <c r="A57" s="12" t="s">
        <v>309</v>
      </c>
      <c r="B57" s="12" t="s">
        <v>310</v>
      </c>
      <c r="C57" s="12" t="s">
        <v>163</v>
      </c>
      <c r="D57" s="13" t="s">
        <v>311</v>
      </c>
      <c r="E57" s="12" t="s">
        <v>66</v>
      </c>
      <c r="F57" s="12" t="s">
        <v>77</v>
      </c>
      <c r="G57" s="14">
        <v>236.1</v>
      </c>
      <c r="H57" s="13" t="s">
        <v>312</v>
      </c>
      <c r="I57" s="13" t="s">
        <v>69</v>
      </c>
      <c r="J57" s="13" t="s">
        <v>200</v>
      </c>
      <c r="K57" s="13" t="s">
        <v>55</v>
      </c>
      <c r="L57" s="12">
        <v>6</v>
      </c>
      <c r="M57" s="12">
        <v>5</v>
      </c>
      <c r="N57" s="12">
        <v>2</v>
      </c>
      <c r="O57" s="12">
        <v>7</v>
      </c>
      <c r="P57" s="12">
        <v>6</v>
      </c>
      <c r="Q57" s="12">
        <v>2</v>
      </c>
      <c r="R57" s="12">
        <v>3</v>
      </c>
      <c r="S57" s="12" t="s">
        <v>45</v>
      </c>
      <c r="T57" s="12">
        <v>4</v>
      </c>
    </row>
    <row r="58" spans="1:20" ht="23.25" customHeight="1" x14ac:dyDescent="0.3">
      <c r="A58" s="12" t="s">
        <v>313</v>
      </c>
      <c r="B58" s="12" t="s">
        <v>314</v>
      </c>
      <c r="C58" s="12" t="s">
        <v>82</v>
      </c>
      <c r="D58" s="13" t="s">
        <v>233</v>
      </c>
      <c r="E58" s="12" t="s">
        <v>204</v>
      </c>
      <c r="F58" s="12" t="s">
        <v>235</v>
      </c>
      <c r="G58" s="14">
        <v>591.1</v>
      </c>
      <c r="H58" s="13" t="s">
        <v>169</v>
      </c>
      <c r="I58" s="13" t="s">
        <v>79</v>
      </c>
      <c r="J58" s="13" t="s">
        <v>151</v>
      </c>
      <c r="K58" s="13" t="s">
        <v>55</v>
      </c>
      <c r="L58" s="12">
        <v>9</v>
      </c>
      <c r="M58" s="12">
        <v>5</v>
      </c>
      <c r="N58" s="12">
        <v>7</v>
      </c>
      <c r="O58" s="12">
        <v>5</v>
      </c>
      <c r="P58" s="12">
        <v>8</v>
      </c>
      <c r="Q58" s="12">
        <v>10</v>
      </c>
      <c r="R58" s="12">
        <v>6</v>
      </c>
      <c r="S58" s="12" t="s">
        <v>102</v>
      </c>
      <c r="T58" s="12">
        <v>6</v>
      </c>
    </row>
    <row r="59" spans="1:20" ht="23.25" customHeight="1" x14ac:dyDescent="0.3">
      <c r="A59" s="12" t="s">
        <v>315</v>
      </c>
      <c r="B59" s="12" t="s">
        <v>316</v>
      </c>
      <c r="C59" s="12" t="s">
        <v>142</v>
      </c>
      <c r="D59" s="13" t="s">
        <v>243</v>
      </c>
      <c r="E59" s="12" t="s">
        <v>66</v>
      </c>
      <c r="F59" s="12" t="s">
        <v>40</v>
      </c>
      <c r="G59" s="14">
        <v>413.3</v>
      </c>
      <c r="H59" s="13" t="s">
        <v>93</v>
      </c>
      <c r="I59" s="13" t="s">
        <v>132</v>
      </c>
      <c r="J59" s="13" t="s">
        <v>240</v>
      </c>
      <c r="K59" s="13" t="s">
        <v>133</v>
      </c>
      <c r="L59" s="12">
        <v>5</v>
      </c>
      <c r="M59" s="12">
        <v>6</v>
      </c>
      <c r="N59" s="12">
        <v>6</v>
      </c>
      <c r="O59" s="12">
        <v>6</v>
      </c>
      <c r="P59" s="12">
        <v>5</v>
      </c>
      <c r="Q59" s="12">
        <v>5</v>
      </c>
      <c r="R59" s="12">
        <v>5</v>
      </c>
      <c r="S59" s="12" t="s">
        <v>45</v>
      </c>
      <c r="T59" s="12">
        <v>7</v>
      </c>
    </row>
    <row r="60" spans="1:20" ht="23.25" customHeight="1" x14ac:dyDescent="0.3">
      <c r="A60" s="12" t="s">
        <v>317</v>
      </c>
      <c r="B60" s="12" t="s">
        <v>318</v>
      </c>
      <c r="C60" s="12" t="s">
        <v>179</v>
      </c>
      <c r="D60" s="13" t="s">
        <v>319</v>
      </c>
      <c r="E60" s="12" t="s">
        <v>320</v>
      </c>
      <c r="F60" s="12" t="s">
        <v>51</v>
      </c>
      <c r="G60" s="14">
        <v>271.89999999999998</v>
      </c>
      <c r="H60" s="13" t="s">
        <v>321</v>
      </c>
      <c r="I60" s="13" t="s">
        <v>86</v>
      </c>
      <c r="J60" s="13" t="s">
        <v>60</v>
      </c>
      <c r="K60" s="13" t="s">
        <v>55</v>
      </c>
      <c r="L60" s="12">
        <v>7</v>
      </c>
      <c r="M60" s="12">
        <v>5</v>
      </c>
      <c r="N60" s="12">
        <v>8</v>
      </c>
      <c r="O60" s="12">
        <v>6</v>
      </c>
      <c r="P60" s="12">
        <v>7</v>
      </c>
      <c r="Q60" s="12">
        <v>3</v>
      </c>
      <c r="R60" s="12">
        <v>8</v>
      </c>
      <c r="S60" s="12" t="s">
        <v>102</v>
      </c>
      <c r="T60" s="12">
        <v>6</v>
      </c>
    </row>
    <row r="61" spans="1:20" ht="23.25" customHeight="1" x14ac:dyDescent="0.3">
      <c r="A61" s="12" t="s">
        <v>322</v>
      </c>
      <c r="B61" s="12" t="s">
        <v>323</v>
      </c>
      <c r="C61" s="12" t="s">
        <v>105</v>
      </c>
      <c r="D61" s="13" t="s">
        <v>285</v>
      </c>
      <c r="E61" s="12" t="s">
        <v>107</v>
      </c>
      <c r="F61" s="12" t="s">
        <v>67</v>
      </c>
      <c r="G61" s="14">
        <v>383.3</v>
      </c>
      <c r="H61" s="13" t="s">
        <v>99</v>
      </c>
      <c r="I61" s="13" t="s">
        <v>108</v>
      </c>
      <c r="J61" s="13" t="s">
        <v>195</v>
      </c>
      <c r="K61" s="13" t="s">
        <v>55</v>
      </c>
      <c r="L61" s="12">
        <v>3</v>
      </c>
      <c r="M61" s="12">
        <v>4</v>
      </c>
      <c r="N61" s="12">
        <v>5</v>
      </c>
      <c r="O61" s="12">
        <v>6</v>
      </c>
      <c r="P61" s="12">
        <v>5</v>
      </c>
      <c r="Q61" s="12">
        <v>3</v>
      </c>
      <c r="R61" s="12">
        <v>9</v>
      </c>
      <c r="S61" s="12" t="s">
        <v>102</v>
      </c>
      <c r="T61" s="12">
        <v>4</v>
      </c>
    </row>
    <row r="62" spans="1:20" ht="23.25" customHeight="1" x14ac:dyDescent="0.3">
      <c r="A62" s="12" t="s">
        <v>324</v>
      </c>
      <c r="B62" s="12" t="s">
        <v>325</v>
      </c>
      <c r="C62" s="12" t="s">
        <v>121</v>
      </c>
      <c r="D62" s="13" t="s">
        <v>326</v>
      </c>
      <c r="E62" s="12" t="s">
        <v>327</v>
      </c>
      <c r="F62" s="12" t="s">
        <v>92</v>
      </c>
      <c r="G62" s="14">
        <v>230.8</v>
      </c>
      <c r="H62" s="13" t="s">
        <v>41</v>
      </c>
      <c r="I62" s="13" t="s">
        <v>182</v>
      </c>
      <c r="J62" s="13" t="s">
        <v>200</v>
      </c>
      <c r="K62" s="13" t="s">
        <v>183</v>
      </c>
      <c r="L62" s="12">
        <v>4</v>
      </c>
      <c r="M62" s="12">
        <v>4</v>
      </c>
      <c r="N62" s="12">
        <v>5</v>
      </c>
      <c r="O62" s="12">
        <v>5</v>
      </c>
      <c r="P62" s="12">
        <v>5</v>
      </c>
      <c r="Q62" s="12">
        <v>4</v>
      </c>
      <c r="R62" s="12">
        <v>10</v>
      </c>
      <c r="S62" s="12" t="s">
        <v>102</v>
      </c>
      <c r="T62" s="12">
        <v>3</v>
      </c>
    </row>
    <row r="63" spans="1:20" ht="23.25" customHeight="1" x14ac:dyDescent="0.3">
      <c r="A63" s="12" t="s">
        <v>328</v>
      </c>
      <c r="B63" s="12" t="s">
        <v>329</v>
      </c>
      <c r="C63" s="12" t="s">
        <v>129</v>
      </c>
      <c r="D63" s="13" t="s">
        <v>148</v>
      </c>
      <c r="E63" s="12" t="s">
        <v>66</v>
      </c>
      <c r="F63" s="12" t="s">
        <v>51</v>
      </c>
      <c r="G63" s="14">
        <v>231.4</v>
      </c>
      <c r="H63" s="13" t="s">
        <v>169</v>
      </c>
      <c r="I63" s="13" t="s">
        <v>194</v>
      </c>
      <c r="J63" s="13" t="s">
        <v>70</v>
      </c>
      <c r="K63" s="13" t="s">
        <v>109</v>
      </c>
      <c r="L63" s="12">
        <v>4</v>
      </c>
      <c r="M63" s="12">
        <v>5</v>
      </c>
      <c r="N63" s="12">
        <v>6</v>
      </c>
      <c r="O63" s="12">
        <v>5</v>
      </c>
      <c r="P63" s="12">
        <v>9</v>
      </c>
      <c r="Q63" s="12">
        <v>5</v>
      </c>
      <c r="R63" s="12">
        <v>3</v>
      </c>
      <c r="S63" s="12" t="s">
        <v>45</v>
      </c>
      <c r="T63" s="12">
        <v>5</v>
      </c>
    </row>
    <row r="64" spans="1:20" ht="23.25" customHeight="1" x14ac:dyDescent="0.3">
      <c r="A64" s="12" t="s">
        <v>330</v>
      </c>
      <c r="B64" s="12" t="s">
        <v>331</v>
      </c>
      <c r="C64" s="12" t="s">
        <v>89</v>
      </c>
      <c r="D64" s="13" t="s">
        <v>332</v>
      </c>
      <c r="E64" s="12" t="s">
        <v>66</v>
      </c>
      <c r="F64" s="12" t="s">
        <v>77</v>
      </c>
      <c r="G64" s="14">
        <v>491.6</v>
      </c>
      <c r="H64" s="13" t="s">
        <v>321</v>
      </c>
      <c r="I64" s="13" t="s">
        <v>108</v>
      </c>
      <c r="J64" s="13" t="s">
        <v>100</v>
      </c>
      <c r="K64" s="13" t="s">
        <v>236</v>
      </c>
      <c r="L64" s="12">
        <v>1</v>
      </c>
      <c r="M64" s="12">
        <v>3</v>
      </c>
      <c r="N64" s="12">
        <v>6</v>
      </c>
      <c r="O64" s="12">
        <v>6</v>
      </c>
      <c r="P64" s="12">
        <v>5</v>
      </c>
      <c r="Q64" s="12">
        <v>2</v>
      </c>
      <c r="R64" s="12">
        <v>5</v>
      </c>
      <c r="S64" s="12" t="s">
        <v>110</v>
      </c>
      <c r="T64" s="12">
        <v>5</v>
      </c>
    </row>
    <row r="65" spans="1:20" ht="23.25" customHeight="1" x14ac:dyDescent="0.3">
      <c r="A65" s="12" t="s">
        <v>333</v>
      </c>
      <c r="B65" s="12" t="s">
        <v>334</v>
      </c>
      <c r="C65" s="12" t="s">
        <v>121</v>
      </c>
      <c r="D65" s="13" t="s">
        <v>335</v>
      </c>
      <c r="E65" s="12" t="s">
        <v>131</v>
      </c>
      <c r="F65" s="12" t="s">
        <v>40</v>
      </c>
      <c r="G65" s="14">
        <v>640</v>
      </c>
      <c r="H65" s="13" t="s">
        <v>336</v>
      </c>
      <c r="I65" s="13" t="s">
        <v>159</v>
      </c>
      <c r="J65" s="13" t="s">
        <v>125</v>
      </c>
      <c r="K65" s="13" t="s">
        <v>71</v>
      </c>
      <c r="L65" s="12">
        <v>2</v>
      </c>
      <c r="M65" s="12">
        <v>5</v>
      </c>
      <c r="N65" s="12">
        <v>8</v>
      </c>
      <c r="O65" s="12">
        <v>7</v>
      </c>
      <c r="P65" s="12">
        <v>6</v>
      </c>
      <c r="Q65" s="12">
        <v>3</v>
      </c>
      <c r="R65" s="12">
        <v>7</v>
      </c>
      <c r="S65" s="12" t="s">
        <v>45</v>
      </c>
      <c r="T65" s="12">
        <v>8</v>
      </c>
    </row>
    <row r="66" spans="1:20" ht="23.25" customHeight="1" x14ac:dyDescent="0.3">
      <c r="A66" s="12" t="s">
        <v>337</v>
      </c>
      <c r="B66" s="12" t="s">
        <v>338</v>
      </c>
      <c r="C66" s="12" t="s">
        <v>179</v>
      </c>
      <c r="D66" s="13" t="s">
        <v>339</v>
      </c>
      <c r="E66" s="12" t="s">
        <v>320</v>
      </c>
      <c r="F66" s="12" t="s">
        <v>92</v>
      </c>
      <c r="G66" s="14">
        <v>32.299999999999997</v>
      </c>
      <c r="H66" s="13" t="s">
        <v>312</v>
      </c>
      <c r="I66" s="13" t="s">
        <v>291</v>
      </c>
      <c r="J66" s="13" t="s">
        <v>240</v>
      </c>
      <c r="K66" s="13" t="s">
        <v>118</v>
      </c>
      <c r="L66" s="12">
        <v>4</v>
      </c>
      <c r="M66" s="12">
        <v>7</v>
      </c>
      <c r="N66" s="12">
        <v>8</v>
      </c>
      <c r="O66" s="12">
        <v>7</v>
      </c>
      <c r="P66" s="12">
        <v>8</v>
      </c>
      <c r="Q66" s="12">
        <v>5</v>
      </c>
      <c r="R66" s="12">
        <v>6</v>
      </c>
      <c r="S66" s="12" t="s">
        <v>45</v>
      </c>
      <c r="T66" s="12">
        <v>6</v>
      </c>
    </row>
    <row r="67" spans="1:20" ht="23.25" customHeight="1" x14ac:dyDescent="0.3">
      <c r="A67" s="12" t="s">
        <v>340</v>
      </c>
      <c r="B67" s="12" t="s">
        <v>341</v>
      </c>
      <c r="C67" s="12" t="s">
        <v>210</v>
      </c>
      <c r="D67" s="13" t="s">
        <v>342</v>
      </c>
      <c r="E67" s="12" t="s">
        <v>212</v>
      </c>
      <c r="F67" s="12" t="s">
        <v>92</v>
      </c>
      <c r="G67" s="14">
        <v>161.9</v>
      </c>
      <c r="H67" s="13" t="s">
        <v>41</v>
      </c>
      <c r="I67" s="13" t="s">
        <v>176</v>
      </c>
      <c r="J67" s="13" t="s">
        <v>151</v>
      </c>
      <c r="K67" s="13" t="s">
        <v>196</v>
      </c>
      <c r="L67" s="12">
        <v>3</v>
      </c>
      <c r="M67" s="12">
        <v>6</v>
      </c>
      <c r="N67" s="12">
        <v>4</v>
      </c>
      <c r="O67" s="12">
        <v>7</v>
      </c>
      <c r="P67" s="12">
        <v>3</v>
      </c>
      <c r="Q67" s="12">
        <v>1</v>
      </c>
      <c r="R67" s="12">
        <v>6</v>
      </c>
      <c r="S67" s="12" t="s">
        <v>110</v>
      </c>
      <c r="T67" s="12">
        <v>5</v>
      </c>
    </row>
    <row r="68" spans="1:20" ht="23.25" customHeight="1" x14ac:dyDescent="0.3">
      <c r="A68" s="12" t="s">
        <v>343</v>
      </c>
      <c r="B68" s="12" t="s">
        <v>344</v>
      </c>
      <c r="C68" s="12" t="s">
        <v>37</v>
      </c>
      <c r="D68" s="13" t="s">
        <v>167</v>
      </c>
      <c r="E68" s="12" t="s">
        <v>59</v>
      </c>
      <c r="F68" s="12" t="s">
        <v>77</v>
      </c>
      <c r="G68" s="14">
        <v>170.1</v>
      </c>
      <c r="H68" s="13" t="s">
        <v>93</v>
      </c>
      <c r="I68" s="13" t="s">
        <v>132</v>
      </c>
      <c r="J68" s="13" t="s">
        <v>151</v>
      </c>
      <c r="K68" s="13" t="s">
        <v>118</v>
      </c>
      <c r="L68" s="12">
        <v>2</v>
      </c>
      <c r="M68" s="12">
        <v>4</v>
      </c>
      <c r="N68" s="12">
        <v>7</v>
      </c>
      <c r="O68" s="12">
        <v>3</v>
      </c>
      <c r="P68" s="12">
        <v>7</v>
      </c>
      <c r="Q68" s="12">
        <v>6</v>
      </c>
      <c r="R68" s="12">
        <v>8</v>
      </c>
      <c r="S68" s="12" t="s">
        <v>102</v>
      </c>
      <c r="T68" s="12">
        <v>3</v>
      </c>
    </row>
    <row r="69" spans="1:20" ht="23.25" customHeight="1" x14ac:dyDescent="0.3">
      <c r="A69" s="12" t="s">
        <v>345</v>
      </c>
      <c r="B69" s="12" t="s">
        <v>346</v>
      </c>
      <c r="C69" s="12" t="s">
        <v>179</v>
      </c>
      <c r="D69" s="13" t="s">
        <v>347</v>
      </c>
      <c r="E69" s="12" t="s">
        <v>181</v>
      </c>
      <c r="F69" s="12" t="s">
        <v>257</v>
      </c>
      <c r="G69" s="14">
        <v>307.5</v>
      </c>
      <c r="H69" s="13" t="s">
        <v>93</v>
      </c>
      <c r="I69" s="13" t="s">
        <v>86</v>
      </c>
      <c r="J69" s="13" t="s">
        <v>54</v>
      </c>
      <c r="K69" s="13" t="s">
        <v>55</v>
      </c>
      <c r="L69" s="12">
        <v>7</v>
      </c>
      <c r="M69" s="12">
        <v>6</v>
      </c>
      <c r="N69" s="12">
        <v>7</v>
      </c>
      <c r="O69" s="12">
        <v>6</v>
      </c>
      <c r="P69" s="12">
        <v>6</v>
      </c>
      <c r="Q69" s="12">
        <v>4</v>
      </c>
      <c r="R69" s="12">
        <v>4</v>
      </c>
      <c r="S69" s="12" t="s">
        <v>45</v>
      </c>
      <c r="T69" s="12">
        <v>6</v>
      </c>
    </row>
    <row r="70" spans="1:20" ht="23.25" customHeight="1" x14ac:dyDescent="0.3">
      <c r="A70" s="12" t="s">
        <v>348</v>
      </c>
      <c r="B70" s="12" t="s">
        <v>349</v>
      </c>
      <c r="C70" s="12" t="s">
        <v>350</v>
      </c>
      <c r="D70" s="13" t="s">
        <v>351</v>
      </c>
      <c r="E70" s="12" t="s">
        <v>352</v>
      </c>
      <c r="F70" s="12" t="s">
        <v>51</v>
      </c>
      <c r="G70" s="14">
        <v>373.7</v>
      </c>
      <c r="H70" s="13" t="s">
        <v>93</v>
      </c>
      <c r="I70" s="13" t="s">
        <v>291</v>
      </c>
      <c r="J70" s="13" t="s">
        <v>353</v>
      </c>
      <c r="K70" s="13" t="s">
        <v>61</v>
      </c>
      <c r="L70" s="12">
        <v>4</v>
      </c>
      <c r="M70" s="12">
        <v>6</v>
      </c>
      <c r="N70" s="12">
        <v>5</v>
      </c>
      <c r="O70" s="12">
        <v>8</v>
      </c>
      <c r="P70" s="12">
        <v>6</v>
      </c>
      <c r="Q70" s="12">
        <v>5</v>
      </c>
      <c r="R70" s="12">
        <v>7</v>
      </c>
      <c r="S70" s="12" t="s">
        <v>45</v>
      </c>
      <c r="T70" s="12">
        <v>7</v>
      </c>
    </row>
    <row r="71" spans="1:20" ht="23.25" customHeight="1" x14ac:dyDescent="0.3">
      <c r="A71" s="12" t="s">
        <v>354</v>
      </c>
      <c r="B71" s="12" t="s">
        <v>355</v>
      </c>
      <c r="C71" s="12" t="s">
        <v>121</v>
      </c>
      <c r="D71" s="13" t="s">
        <v>122</v>
      </c>
      <c r="E71" s="12" t="s">
        <v>327</v>
      </c>
      <c r="F71" s="12" t="s">
        <v>224</v>
      </c>
      <c r="G71" s="14">
        <v>597.1</v>
      </c>
      <c r="H71" s="13" t="s">
        <v>175</v>
      </c>
      <c r="I71" s="13" t="s">
        <v>94</v>
      </c>
      <c r="J71" s="13" t="s">
        <v>54</v>
      </c>
      <c r="K71" s="13" t="s">
        <v>236</v>
      </c>
      <c r="L71" s="12">
        <v>4</v>
      </c>
      <c r="M71" s="12">
        <v>7</v>
      </c>
      <c r="N71" s="12">
        <v>7</v>
      </c>
      <c r="O71" s="12">
        <v>4</v>
      </c>
      <c r="P71" s="12">
        <v>6</v>
      </c>
      <c r="Q71" s="12">
        <v>3</v>
      </c>
      <c r="R71" s="12">
        <v>8</v>
      </c>
      <c r="S71" s="12" t="s">
        <v>45</v>
      </c>
      <c r="T71" s="12">
        <v>6</v>
      </c>
    </row>
    <row r="72" spans="1:20" ht="23.25" customHeight="1" x14ac:dyDescent="0.3">
      <c r="A72" s="12" t="s">
        <v>356</v>
      </c>
      <c r="B72" s="12" t="s">
        <v>357</v>
      </c>
      <c r="C72" s="12" t="s">
        <v>48</v>
      </c>
      <c r="D72" s="13" t="s">
        <v>358</v>
      </c>
      <c r="E72" s="12" t="s">
        <v>107</v>
      </c>
      <c r="F72" s="12" t="s">
        <v>67</v>
      </c>
      <c r="G72" s="14">
        <v>96.2</v>
      </c>
      <c r="H72" s="13" t="s">
        <v>78</v>
      </c>
      <c r="I72" s="13" t="s">
        <v>291</v>
      </c>
      <c r="J72" s="13" t="s">
        <v>100</v>
      </c>
      <c r="K72" s="13" t="s">
        <v>71</v>
      </c>
      <c r="L72" s="12">
        <v>3</v>
      </c>
      <c r="M72" s="12">
        <v>7</v>
      </c>
      <c r="N72" s="12">
        <v>8</v>
      </c>
      <c r="O72" s="12">
        <v>7</v>
      </c>
      <c r="P72" s="12">
        <v>5</v>
      </c>
      <c r="Q72" s="12">
        <v>6</v>
      </c>
      <c r="R72" s="12">
        <v>7</v>
      </c>
      <c r="S72" s="12" t="s">
        <v>45</v>
      </c>
      <c r="T72" s="12">
        <v>6</v>
      </c>
    </row>
    <row r="73" spans="1:20" ht="23.25" customHeight="1" x14ac:dyDescent="0.3">
      <c r="A73" s="12" t="s">
        <v>359</v>
      </c>
      <c r="B73" s="12" t="s">
        <v>360</v>
      </c>
      <c r="C73" s="12" t="s">
        <v>163</v>
      </c>
      <c r="D73" s="13" t="s">
        <v>252</v>
      </c>
      <c r="E73" s="12" t="s">
        <v>66</v>
      </c>
      <c r="F73" s="12" t="s">
        <v>224</v>
      </c>
      <c r="G73" s="14">
        <v>121.3</v>
      </c>
      <c r="H73" s="13" t="s">
        <v>78</v>
      </c>
      <c r="I73" s="13" t="s">
        <v>94</v>
      </c>
      <c r="J73" s="13" t="s">
        <v>151</v>
      </c>
      <c r="K73" s="13" t="s">
        <v>133</v>
      </c>
      <c r="L73" s="12">
        <v>4</v>
      </c>
      <c r="M73" s="12">
        <v>7</v>
      </c>
      <c r="N73" s="12">
        <v>4</v>
      </c>
      <c r="O73" s="12">
        <v>7</v>
      </c>
      <c r="P73" s="12">
        <v>6</v>
      </c>
      <c r="Q73" s="12">
        <v>1</v>
      </c>
      <c r="R73" s="12">
        <v>6</v>
      </c>
      <c r="S73" s="12" t="s">
        <v>45</v>
      </c>
      <c r="T73" s="12">
        <v>5</v>
      </c>
    </row>
    <row r="74" spans="1:20" ht="23.25" customHeight="1" x14ac:dyDescent="0.3">
      <c r="A74" s="12" t="s">
        <v>361</v>
      </c>
      <c r="B74" s="12" t="s">
        <v>362</v>
      </c>
      <c r="C74" s="12" t="s">
        <v>210</v>
      </c>
      <c r="D74" s="13" t="s">
        <v>363</v>
      </c>
      <c r="E74" s="12" t="s">
        <v>212</v>
      </c>
      <c r="F74" s="12" t="s">
        <v>77</v>
      </c>
      <c r="G74" s="14">
        <v>121.6</v>
      </c>
      <c r="H74" s="13" t="s">
        <v>85</v>
      </c>
      <c r="I74" s="13" t="s">
        <v>94</v>
      </c>
      <c r="J74" s="13" t="s">
        <v>240</v>
      </c>
      <c r="K74" s="13" t="s">
        <v>126</v>
      </c>
      <c r="L74" s="12">
        <v>4</v>
      </c>
      <c r="M74" s="12">
        <v>6</v>
      </c>
      <c r="N74" s="12">
        <v>6</v>
      </c>
      <c r="O74" s="12">
        <v>9</v>
      </c>
      <c r="P74" s="12">
        <v>2</v>
      </c>
      <c r="Q74" s="12">
        <v>1</v>
      </c>
      <c r="R74" s="12">
        <v>8</v>
      </c>
      <c r="S74" s="12" t="s">
        <v>110</v>
      </c>
      <c r="T74" s="12">
        <v>7</v>
      </c>
    </row>
    <row r="75" spans="1:20" ht="23.25" customHeight="1" x14ac:dyDescent="0.3">
      <c r="A75" s="12" t="s">
        <v>364</v>
      </c>
      <c r="B75" s="12" t="s">
        <v>365</v>
      </c>
      <c r="C75" s="12" t="s">
        <v>48</v>
      </c>
      <c r="D75" s="13" t="s">
        <v>358</v>
      </c>
      <c r="E75" s="12" t="s">
        <v>76</v>
      </c>
      <c r="F75" s="12" t="s">
        <v>51</v>
      </c>
      <c r="G75" s="14">
        <v>130.1</v>
      </c>
      <c r="H75" s="13" t="s">
        <v>99</v>
      </c>
      <c r="I75" s="13" t="s">
        <v>291</v>
      </c>
      <c r="J75" s="13" t="s">
        <v>54</v>
      </c>
      <c r="K75" s="13" t="s">
        <v>152</v>
      </c>
      <c r="L75" s="12">
        <v>5</v>
      </c>
      <c r="M75" s="12">
        <v>5</v>
      </c>
      <c r="N75" s="12">
        <v>7</v>
      </c>
      <c r="O75" s="12">
        <v>8</v>
      </c>
      <c r="P75" s="12">
        <v>6</v>
      </c>
      <c r="Q75" s="12">
        <v>4</v>
      </c>
      <c r="R75" s="12">
        <v>8</v>
      </c>
      <c r="S75" s="12" t="s">
        <v>102</v>
      </c>
      <c r="T75" s="12">
        <v>5</v>
      </c>
    </row>
    <row r="76" spans="1:20" ht="23.25" customHeight="1" x14ac:dyDescent="0.3">
      <c r="A76" s="12" t="s">
        <v>366</v>
      </c>
      <c r="B76" s="12" t="s">
        <v>367</v>
      </c>
      <c r="C76" s="12" t="s">
        <v>219</v>
      </c>
      <c r="D76" s="13" t="s">
        <v>368</v>
      </c>
      <c r="E76" s="12" t="s">
        <v>221</v>
      </c>
      <c r="F76" s="12" t="s">
        <v>235</v>
      </c>
      <c r="G76" s="14">
        <v>337.8</v>
      </c>
      <c r="H76" s="13" t="s">
        <v>258</v>
      </c>
      <c r="I76" s="13" t="s">
        <v>194</v>
      </c>
      <c r="J76" s="13" t="s">
        <v>151</v>
      </c>
      <c r="K76" s="13" t="s">
        <v>249</v>
      </c>
      <c r="L76" s="12">
        <v>2</v>
      </c>
      <c r="M76" s="12">
        <v>4</v>
      </c>
      <c r="N76" s="12">
        <v>4</v>
      </c>
      <c r="O76" s="12">
        <v>6</v>
      </c>
      <c r="P76" s="12">
        <v>4</v>
      </c>
      <c r="Q76" s="12">
        <v>5</v>
      </c>
      <c r="R76" s="12">
        <v>5</v>
      </c>
      <c r="S76" s="12" t="s">
        <v>110</v>
      </c>
      <c r="T76" s="12">
        <v>5</v>
      </c>
    </row>
    <row r="77" spans="1:20" ht="23.25" customHeight="1" x14ac:dyDescent="0.3">
      <c r="A77" s="12" t="s">
        <v>369</v>
      </c>
      <c r="B77" s="12" t="s">
        <v>370</v>
      </c>
      <c r="C77" s="12" t="s">
        <v>48</v>
      </c>
      <c r="D77" s="13" t="s">
        <v>281</v>
      </c>
      <c r="E77" s="12" t="s">
        <v>50</v>
      </c>
      <c r="F77" s="12" t="s">
        <v>224</v>
      </c>
      <c r="G77" s="14">
        <v>254.1</v>
      </c>
      <c r="H77" s="13" t="s">
        <v>169</v>
      </c>
      <c r="I77" s="13" t="s">
        <v>94</v>
      </c>
      <c r="J77" s="13" t="s">
        <v>54</v>
      </c>
      <c r="K77" s="13" t="s">
        <v>44</v>
      </c>
      <c r="L77" s="12">
        <v>2</v>
      </c>
      <c r="M77" s="12">
        <v>4</v>
      </c>
      <c r="N77" s="12">
        <v>6</v>
      </c>
      <c r="O77" s="12">
        <v>5</v>
      </c>
      <c r="P77" s="12">
        <v>6</v>
      </c>
      <c r="Q77" s="12">
        <v>3</v>
      </c>
      <c r="R77" s="12">
        <v>7</v>
      </c>
      <c r="S77" s="12" t="s">
        <v>45</v>
      </c>
      <c r="T77" s="12">
        <v>3</v>
      </c>
    </row>
    <row r="78" spans="1:20" ht="23.25" customHeight="1" x14ac:dyDescent="0.3">
      <c r="A78" s="12" t="s">
        <v>371</v>
      </c>
      <c r="B78" s="12" t="s">
        <v>372</v>
      </c>
      <c r="C78" s="12" t="s">
        <v>210</v>
      </c>
      <c r="D78" s="13" t="s">
        <v>342</v>
      </c>
      <c r="E78" s="12" t="s">
        <v>66</v>
      </c>
      <c r="F78" s="12" t="s">
        <v>145</v>
      </c>
      <c r="G78" s="14">
        <v>144.1</v>
      </c>
      <c r="H78" s="13" t="s">
        <v>99</v>
      </c>
      <c r="I78" s="13" t="s">
        <v>53</v>
      </c>
      <c r="J78" s="13" t="s">
        <v>60</v>
      </c>
      <c r="K78" s="13" t="s">
        <v>55</v>
      </c>
      <c r="L78" s="12">
        <v>2</v>
      </c>
      <c r="M78" s="12">
        <v>8</v>
      </c>
      <c r="N78" s="12">
        <v>4</v>
      </c>
      <c r="O78" s="12">
        <v>8</v>
      </c>
      <c r="P78" s="12">
        <v>5</v>
      </c>
      <c r="Q78" s="12">
        <v>1</v>
      </c>
      <c r="R78" s="12">
        <v>5</v>
      </c>
      <c r="S78" s="12" t="s">
        <v>110</v>
      </c>
      <c r="T78" s="12">
        <v>6</v>
      </c>
    </row>
    <row r="79" spans="1:20" ht="23.25" customHeight="1" x14ac:dyDescent="0.3">
      <c r="A79" s="12" t="s">
        <v>373</v>
      </c>
      <c r="B79" s="12" t="s">
        <v>374</v>
      </c>
      <c r="C79" s="12" t="s">
        <v>142</v>
      </c>
      <c r="D79" s="13" t="s">
        <v>143</v>
      </c>
      <c r="E79" s="12" t="s">
        <v>66</v>
      </c>
      <c r="F79" s="12" t="s">
        <v>40</v>
      </c>
      <c r="G79" s="14">
        <v>6</v>
      </c>
      <c r="H79" s="13" t="s">
        <v>41</v>
      </c>
      <c r="I79" s="13" t="s">
        <v>69</v>
      </c>
      <c r="J79" s="13" t="s">
        <v>353</v>
      </c>
      <c r="K79" s="13" t="s">
        <v>160</v>
      </c>
      <c r="L79" s="12">
        <v>4</v>
      </c>
      <c r="M79" s="12">
        <v>7</v>
      </c>
      <c r="N79" s="12">
        <v>3</v>
      </c>
      <c r="O79" s="12">
        <v>7</v>
      </c>
      <c r="P79" s="12">
        <v>5</v>
      </c>
      <c r="Q79" s="12">
        <v>4</v>
      </c>
      <c r="R79" s="12">
        <v>9</v>
      </c>
      <c r="S79" s="12" t="s">
        <v>102</v>
      </c>
      <c r="T79" s="12">
        <v>4</v>
      </c>
    </row>
    <row r="80" spans="1:20" ht="23.25" customHeight="1" x14ac:dyDescent="0.3">
      <c r="A80" s="12" t="s">
        <v>375</v>
      </c>
      <c r="B80" s="12" t="s">
        <v>376</v>
      </c>
      <c r="C80" s="12" t="s">
        <v>142</v>
      </c>
      <c r="D80" s="13" t="s">
        <v>306</v>
      </c>
      <c r="E80" s="12" t="s">
        <v>199</v>
      </c>
      <c r="F80" s="12" t="s">
        <v>40</v>
      </c>
      <c r="G80" s="14">
        <v>15.5</v>
      </c>
      <c r="H80" s="13" t="s">
        <v>78</v>
      </c>
      <c r="I80" s="13" t="s">
        <v>377</v>
      </c>
      <c r="J80" s="13" t="s">
        <v>70</v>
      </c>
      <c r="K80" s="13" t="s">
        <v>101</v>
      </c>
      <c r="L80" s="12">
        <v>6</v>
      </c>
      <c r="M80" s="12">
        <v>6</v>
      </c>
      <c r="N80" s="12">
        <v>5</v>
      </c>
      <c r="O80" s="12">
        <v>7</v>
      </c>
      <c r="P80" s="12">
        <v>6</v>
      </c>
      <c r="Q80" s="12">
        <v>6</v>
      </c>
      <c r="R80" s="12">
        <v>6</v>
      </c>
      <c r="S80" s="12" t="s">
        <v>45</v>
      </c>
      <c r="T80" s="12">
        <v>4</v>
      </c>
    </row>
    <row r="81" spans="1:20" ht="23.25" customHeight="1" x14ac:dyDescent="0.3">
      <c r="A81" s="12" t="s">
        <v>378</v>
      </c>
      <c r="B81" s="12" t="s">
        <v>379</v>
      </c>
      <c r="C81" s="12" t="s">
        <v>82</v>
      </c>
      <c r="D81" s="13" t="s">
        <v>203</v>
      </c>
      <c r="E81" s="12" t="s">
        <v>234</v>
      </c>
      <c r="F81" s="12" t="s">
        <v>92</v>
      </c>
      <c r="G81" s="14">
        <v>45.7</v>
      </c>
      <c r="H81" s="13" t="s">
        <v>41</v>
      </c>
      <c r="I81" s="13" t="s">
        <v>53</v>
      </c>
      <c r="J81" s="13" t="s">
        <v>117</v>
      </c>
      <c r="K81" s="13" t="s">
        <v>249</v>
      </c>
      <c r="L81" s="12">
        <v>9</v>
      </c>
      <c r="M81" s="12">
        <v>6</v>
      </c>
      <c r="N81" s="12">
        <v>5</v>
      </c>
      <c r="O81" s="12">
        <v>5</v>
      </c>
      <c r="P81" s="12">
        <v>5</v>
      </c>
      <c r="Q81" s="12">
        <v>7</v>
      </c>
      <c r="R81" s="12">
        <v>8</v>
      </c>
      <c r="S81" s="12" t="s">
        <v>102</v>
      </c>
      <c r="T81" s="12">
        <v>3</v>
      </c>
    </row>
    <row r="82" spans="1:20" ht="23.25" customHeight="1" x14ac:dyDescent="0.3">
      <c r="A82" s="12" t="s">
        <v>380</v>
      </c>
      <c r="B82" s="12" t="s">
        <v>381</v>
      </c>
      <c r="C82" s="12" t="s">
        <v>179</v>
      </c>
      <c r="D82" s="13" t="s">
        <v>347</v>
      </c>
      <c r="E82" s="12" t="s">
        <v>382</v>
      </c>
      <c r="F82" s="12" t="s">
        <v>92</v>
      </c>
      <c r="G82" s="14">
        <v>219.1</v>
      </c>
      <c r="H82" s="13" t="s">
        <v>258</v>
      </c>
      <c r="I82" s="13" t="s">
        <v>239</v>
      </c>
      <c r="J82" s="13" t="s">
        <v>125</v>
      </c>
      <c r="K82" s="13" t="s">
        <v>152</v>
      </c>
      <c r="L82" s="12">
        <v>4</v>
      </c>
      <c r="M82" s="12">
        <v>4</v>
      </c>
      <c r="N82" s="12">
        <v>9</v>
      </c>
      <c r="O82" s="12">
        <v>8</v>
      </c>
      <c r="P82" s="12">
        <v>10</v>
      </c>
      <c r="Q82" s="12">
        <v>4</v>
      </c>
      <c r="R82" s="12">
        <v>8</v>
      </c>
      <c r="S82" s="12" t="s">
        <v>102</v>
      </c>
      <c r="T82" s="12">
        <v>6</v>
      </c>
    </row>
    <row r="83" spans="1:20" ht="23.25" customHeight="1" x14ac:dyDescent="0.3">
      <c r="A83" s="12" t="s">
        <v>383</v>
      </c>
      <c r="B83" s="12" t="s">
        <v>384</v>
      </c>
      <c r="C83" s="12" t="s">
        <v>37</v>
      </c>
      <c r="D83" s="13" t="s">
        <v>274</v>
      </c>
      <c r="E83" s="12" t="s">
        <v>385</v>
      </c>
      <c r="F83" s="12" t="s">
        <v>67</v>
      </c>
      <c r="G83" s="14">
        <v>535.4</v>
      </c>
      <c r="H83" s="13" t="s">
        <v>150</v>
      </c>
      <c r="I83" s="13" t="s">
        <v>94</v>
      </c>
      <c r="J83" s="13" t="s">
        <v>54</v>
      </c>
      <c r="K83" s="13" t="s">
        <v>183</v>
      </c>
      <c r="L83" s="12">
        <v>3</v>
      </c>
      <c r="M83" s="12">
        <v>4</v>
      </c>
      <c r="N83" s="12">
        <v>4</v>
      </c>
      <c r="O83" s="12">
        <v>6</v>
      </c>
      <c r="P83" s="12">
        <v>4</v>
      </c>
      <c r="Q83" s="12">
        <v>5</v>
      </c>
      <c r="R83" s="12">
        <v>8</v>
      </c>
      <c r="S83" s="12" t="s">
        <v>45</v>
      </c>
      <c r="T83" s="12">
        <v>5</v>
      </c>
    </row>
    <row r="84" spans="1:20" ht="23.25" customHeight="1" x14ac:dyDescent="0.3">
      <c r="A84" s="12" t="s">
        <v>386</v>
      </c>
      <c r="B84" s="12" t="s">
        <v>387</v>
      </c>
      <c r="C84" s="12" t="s">
        <v>82</v>
      </c>
      <c r="D84" s="13" t="s">
        <v>388</v>
      </c>
      <c r="E84" s="12" t="s">
        <v>204</v>
      </c>
      <c r="F84" s="12" t="s">
        <v>145</v>
      </c>
      <c r="G84" s="14">
        <v>416.2</v>
      </c>
      <c r="H84" s="13" t="s">
        <v>85</v>
      </c>
      <c r="I84" s="13" t="s">
        <v>377</v>
      </c>
      <c r="J84" s="13" t="s">
        <v>195</v>
      </c>
      <c r="K84" s="13" t="s">
        <v>109</v>
      </c>
      <c r="L84" s="12">
        <v>7</v>
      </c>
      <c r="M84" s="12">
        <v>7</v>
      </c>
      <c r="N84" s="12">
        <v>7</v>
      </c>
      <c r="O84" s="12">
        <v>9</v>
      </c>
      <c r="P84" s="12">
        <v>5</v>
      </c>
      <c r="Q84" s="12">
        <v>9</v>
      </c>
      <c r="R84" s="12">
        <v>7</v>
      </c>
      <c r="S84" s="12" t="s">
        <v>45</v>
      </c>
      <c r="T84" s="12">
        <v>8</v>
      </c>
    </row>
    <row r="85" spans="1:20" ht="23.25" customHeight="1" x14ac:dyDescent="0.3">
      <c r="A85" s="12" t="s">
        <v>389</v>
      </c>
      <c r="B85" s="12" t="s">
        <v>390</v>
      </c>
      <c r="C85" s="12" t="s">
        <v>350</v>
      </c>
      <c r="D85" s="13" t="s">
        <v>391</v>
      </c>
      <c r="E85" s="12" t="s">
        <v>352</v>
      </c>
      <c r="F85" s="12" t="s">
        <v>124</v>
      </c>
      <c r="G85" s="14">
        <v>244.9</v>
      </c>
      <c r="H85" s="13" t="s">
        <v>138</v>
      </c>
      <c r="I85" s="13" t="s">
        <v>132</v>
      </c>
      <c r="J85" s="13" t="s">
        <v>125</v>
      </c>
      <c r="K85" s="13" t="s">
        <v>55</v>
      </c>
      <c r="L85" s="12">
        <v>6</v>
      </c>
      <c r="M85" s="12">
        <v>6</v>
      </c>
      <c r="N85" s="12">
        <v>5</v>
      </c>
      <c r="O85" s="12">
        <v>6</v>
      </c>
      <c r="P85" s="12">
        <v>7</v>
      </c>
      <c r="Q85" s="12">
        <v>3</v>
      </c>
      <c r="R85" s="12">
        <v>4</v>
      </c>
      <c r="S85" s="12" t="s">
        <v>45</v>
      </c>
      <c r="T85" s="12">
        <v>6</v>
      </c>
    </row>
    <row r="86" spans="1:20" ht="23.25" customHeight="1" x14ac:dyDescent="0.3">
      <c r="A86" s="12" t="s">
        <v>392</v>
      </c>
      <c r="B86" s="12" t="s">
        <v>393</v>
      </c>
      <c r="C86" s="12" t="s">
        <v>179</v>
      </c>
      <c r="D86" s="13" t="s">
        <v>394</v>
      </c>
      <c r="E86" s="12" t="s">
        <v>320</v>
      </c>
      <c r="F86" s="12" t="s">
        <v>40</v>
      </c>
      <c r="G86" s="14">
        <v>399.7</v>
      </c>
      <c r="H86" s="13" t="s">
        <v>78</v>
      </c>
      <c r="I86" s="13" t="s">
        <v>194</v>
      </c>
      <c r="J86" s="13" t="s">
        <v>100</v>
      </c>
      <c r="K86" s="13" t="s">
        <v>109</v>
      </c>
      <c r="L86" s="12">
        <v>7</v>
      </c>
      <c r="M86" s="12">
        <v>7</v>
      </c>
      <c r="N86" s="12">
        <v>6</v>
      </c>
      <c r="O86" s="12">
        <v>6</v>
      </c>
      <c r="P86" s="12">
        <v>6</v>
      </c>
      <c r="Q86" s="12">
        <v>3</v>
      </c>
      <c r="R86" s="12">
        <v>7</v>
      </c>
      <c r="S86" s="12" t="s">
        <v>102</v>
      </c>
      <c r="T86" s="12">
        <v>7</v>
      </c>
    </row>
    <row r="87" spans="1:20" ht="23.25" customHeight="1" x14ac:dyDescent="0.3">
      <c r="A87" s="12" t="s">
        <v>395</v>
      </c>
      <c r="B87" s="12" t="s">
        <v>396</v>
      </c>
      <c r="C87" s="12" t="s">
        <v>37</v>
      </c>
      <c r="D87" s="13" t="s">
        <v>167</v>
      </c>
      <c r="E87" s="12" t="s">
        <v>59</v>
      </c>
      <c r="F87" s="12" t="s">
        <v>92</v>
      </c>
      <c r="G87" s="14">
        <v>333.1</v>
      </c>
      <c r="H87" s="13" t="s">
        <v>99</v>
      </c>
      <c r="I87" s="13" t="s">
        <v>132</v>
      </c>
      <c r="J87" s="13" t="s">
        <v>60</v>
      </c>
      <c r="K87" s="13" t="s">
        <v>55</v>
      </c>
      <c r="L87" s="12">
        <v>1</v>
      </c>
      <c r="M87" s="12">
        <v>4</v>
      </c>
      <c r="N87" s="12">
        <v>5</v>
      </c>
      <c r="O87" s="12">
        <v>6</v>
      </c>
      <c r="P87" s="12">
        <v>3</v>
      </c>
      <c r="Q87" s="12">
        <v>5</v>
      </c>
      <c r="R87" s="12">
        <v>7</v>
      </c>
      <c r="S87" s="12" t="s">
        <v>110</v>
      </c>
      <c r="T87" s="12">
        <v>5</v>
      </c>
    </row>
    <row r="88" spans="1:20" ht="23.25" customHeight="1" x14ac:dyDescent="0.3">
      <c r="A88" s="12" t="s">
        <v>397</v>
      </c>
      <c r="B88" s="12" t="s">
        <v>398</v>
      </c>
      <c r="C88" s="12" t="s">
        <v>74</v>
      </c>
      <c r="D88" s="13" t="s">
        <v>75</v>
      </c>
      <c r="E88" s="12" t="s">
        <v>76</v>
      </c>
      <c r="F88" s="12" t="s">
        <v>235</v>
      </c>
      <c r="G88" s="14">
        <v>536.1</v>
      </c>
      <c r="H88" s="13" t="s">
        <v>336</v>
      </c>
      <c r="I88" s="13" t="s">
        <v>239</v>
      </c>
      <c r="J88" s="13" t="s">
        <v>70</v>
      </c>
      <c r="K88" s="13" t="s">
        <v>160</v>
      </c>
      <c r="L88" s="12">
        <v>2</v>
      </c>
      <c r="M88" s="12">
        <v>8</v>
      </c>
      <c r="N88" s="12">
        <v>6</v>
      </c>
      <c r="O88" s="12">
        <v>9</v>
      </c>
      <c r="P88" s="12">
        <v>6</v>
      </c>
      <c r="Q88" s="12">
        <v>2</v>
      </c>
      <c r="R88" s="12">
        <v>10</v>
      </c>
      <c r="S88" s="12" t="s">
        <v>45</v>
      </c>
      <c r="T88" s="12">
        <v>9</v>
      </c>
    </row>
    <row r="89" spans="1:20" ht="23.25" customHeight="1" x14ac:dyDescent="0.3">
      <c r="A89" s="12" t="s">
        <v>399</v>
      </c>
      <c r="B89" s="12" t="s">
        <v>400</v>
      </c>
      <c r="C89" s="12" t="s">
        <v>210</v>
      </c>
      <c r="D89" s="13" t="s">
        <v>363</v>
      </c>
      <c r="E89" s="12" t="s">
        <v>256</v>
      </c>
      <c r="F89" s="12" t="s">
        <v>77</v>
      </c>
      <c r="G89" s="14">
        <v>213.1</v>
      </c>
      <c r="H89" s="13" t="s">
        <v>175</v>
      </c>
      <c r="I89" s="13" t="s">
        <v>42</v>
      </c>
      <c r="J89" s="13" t="s">
        <v>125</v>
      </c>
      <c r="K89" s="13" t="s">
        <v>55</v>
      </c>
      <c r="L89" s="12">
        <v>4</v>
      </c>
      <c r="M89" s="12">
        <v>5</v>
      </c>
      <c r="N89" s="12">
        <v>6</v>
      </c>
      <c r="O89" s="12">
        <v>10</v>
      </c>
      <c r="P89" s="12">
        <v>5</v>
      </c>
      <c r="Q89" s="12">
        <v>1</v>
      </c>
      <c r="R89" s="12">
        <v>8</v>
      </c>
      <c r="S89" s="12" t="s">
        <v>45</v>
      </c>
      <c r="T89" s="12">
        <v>7</v>
      </c>
    </row>
    <row r="90" spans="1:20" ht="23.25" customHeight="1" x14ac:dyDescent="0.3">
      <c r="A90" s="12" t="s">
        <v>401</v>
      </c>
      <c r="B90" s="12" t="s">
        <v>402</v>
      </c>
      <c r="C90" s="12" t="s">
        <v>179</v>
      </c>
      <c r="D90" s="13" t="s">
        <v>403</v>
      </c>
      <c r="E90" s="12" t="s">
        <v>404</v>
      </c>
      <c r="F90" s="12" t="s">
        <v>77</v>
      </c>
      <c r="G90" s="14">
        <v>429.9</v>
      </c>
      <c r="H90" s="13" t="s">
        <v>93</v>
      </c>
      <c r="I90" s="13" t="s">
        <v>176</v>
      </c>
      <c r="J90" s="13" t="s">
        <v>240</v>
      </c>
      <c r="K90" s="13" t="s">
        <v>118</v>
      </c>
      <c r="L90" s="12">
        <v>7</v>
      </c>
      <c r="M90" s="12">
        <v>5</v>
      </c>
      <c r="N90" s="12">
        <v>8</v>
      </c>
      <c r="O90" s="12">
        <v>7</v>
      </c>
      <c r="P90" s="12">
        <v>9</v>
      </c>
      <c r="Q90" s="12">
        <v>2</v>
      </c>
      <c r="R90" s="12">
        <v>4</v>
      </c>
      <c r="S90" s="12" t="s">
        <v>45</v>
      </c>
      <c r="T90" s="12">
        <v>8</v>
      </c>
    </row>
    <row r="91" spans="1:20" ht="23.25" customHeight="1" x14ac:dyDescent="0.3">
      <c r="A91" s="12" t="s">
        <v>405</v>
      </c>
      <c r="B91" s="12" t="s">
        <v>406</v>
      </c>
      <c r="C91" s="12" t="s">
        <v>219</v>
      </c>
      <c r="D91" s="13" t="s">
        <v>277</v>
      </c>
      <c r="E91" s="12" t="s">
        <v>407</v>
      </c>
      <c r="F91" s="12" t="s">
        <v>116</v>
      </c>
      <c r="G91" s="14">
        <v>199.9</v>
      </c>
      <c r="H91" s="13" t="s">
        <v>336</v>
      </c>
      <c r="I91" s="13" t="s">
        <v>194</v>
      </c>
      <c r="J91" s="13" t="s">
        <v>54</v>
      </c>
      <c r="K91" s="13" t="s">
        <v>71</v>
      </c>
      <c r="L91" s="12">
        <v>3</v>
      </c>
      <c r="M91" s="12">
        <v>7</v>
      </c>
      <c r="N91" s="12">
        <v>5</v>
      </c>
      <c r="O91" s="12">
        <v>6</v>
      </c>
      <c r="P91" s="12">
        <v>5</v>
      </c>
      <c r="Q91" s="12">
        <v>3</v>
      </c>
      <c r="R91" s="12">
        <v>7</v>
      </c>
      <c r="S91" s="12" t="s">
        <v>45</v>
      </c>
      <c r="T91" s="12">
        <v>5</v>
      </c>
    </row>
    <row r="92" spans="1:20" ht="23.25" customHeight="1" x14ac:dyDescent="0.3">
      <c r="A92" s="12" t="s">
        <v>408</v>
      </c>
      <c r="B92" s="12" t="s">
        <v>409</v>
      </c>
      <c r="C92" s="12" t="s">
        <v>186</v>
      </c>
      <c r="D92" s="13" t="s">
        <v>187</v>
      </c>
      <c r="E92" s="12" t="s">
        <v>149</v>
      </c>
      <c r="F92" s="12" t="s">
        <v>235</v>
      </c>
      <c r="G92" s="14">
        <v>337.2</v>
      </c>
      <c r="H92" s="13" t="s">
        <v>78</v>
      </c>
      <c r="I92" s="13" t="s">
        <v>132</v>
      </c>
      <c r="J92" s="13" t="s">
        <v>70</v>
      </c>
      <c r="K92" s="13" t="s">
        <v>101</v>
      </c>
      <c r="L92" s="12">
        <v>5</v>
      </c>
      <c r="M92" s="12">
        <v>5</v>
      </c>
      <c r="N92" s="12">
        <v>4</v>
      </c>
      <c r="O92" s="12">
        <v>5</v>
      </c>
      <c r="P92" s="12">
        <v>4</v>
      </c>
      <c r="Q92" s="12">
        <v>5</v>
      </c>
      <c r="R92" s="12">
        <v>6</v>
      </c>
      <c r="S92" s="12" t="s">
        <v>45</v>
      </c>
      <c r="T92" s="12">
        <v>4</v>
      </c>
    </row>
    <row r="93" spans="1:20" ht="23.25" customHeight="1" x14ac:dyDescent="0.3">
      <c r="A93" s="12" t="s">
        <v>410</v>
      </c>
      <c r="B93" s="12" t="s">
        <v>411</v>
      </c>
      <c r="C93" s="12" t="s">
        <v>186</v>
      </c>
      <c r="D93" s="13" t="s">
        <v>412</v>
      </c>
      <c r="E93" s="12" t="s">
        <v>413</v>
      </c>
      <c r="F93" s="12" t="s">
        <v>193</v>
      </c>
      <c r="G93" s="14">
        <v>306.10000000000002</v>
      </c>
      <c r="H93" s="13" t="s">
        <v>99</v>
      </c>
      <c r="I93" s="13" t="s">
        <v>132</v>
      </c>
      <c r="J93" s="13" t="s">
        <v>54</v>
      </c>
      <c r="K93" s="13" t="s">
        <v>236</v>
      </c>
      <c r="L93" s="12">
        <v>9</v>
      </c>
      <c r="M93" s="12">
        <v>6</v>
      </c>
      <c r="N93" s="12">
        <v>4</v>
      </c>
      <c r="O93" s="12">
        <v>5</v>
      </c>
      <c r="P93" s="12">
        <v>5</v>
      </c>
      <c r="Q93" s="12">
        <v>6</v>
      </c>
      <c r="R93" s="12">
        <v>4</v>
      </c>
      <c r="S93" s="12" t="s">
        <v>45</v>
      </c>
      <c r="T93" s="12">
        <v>4</v>
      </c>
    </row>
    <row r="94" spans="1:20" ht="23.25" customHeight="1" x14ac:dyDescent="0.3">
      <c r="A94" s="12" t="s">
        <v>414</v>
      </c>
      <c r="B94" s="12" t="s">
        <v>415</v>
      </c>
      <c r="C94" s="12" t="s">
        <v>129</v>
      </c>
      <c r="D94" s="13" t="s">
        <v>130</v>
      </c>
      <c r="E94" s="12" t="s">
        <v>137</v>
      </c>
      <c r="F94" s="12" t="s">
        <v>257</v>
      </c>
      <c r="G94" s="14">
        <v>574.20000000000005</v>
      </c>
      <c r="H94" s="13" t="s">
        <v>85</v>
      </c>
      <c r="I94" s="13" t="s">
        <v>69</v>
      </c>
      <c r="J94" s="13" t="s">
        <v>117</v>
      </c>
      <c r="K94" s="13" t="s">
        <v>101</v>
      </c>
      <c r="L94" s="12">
        <v>6</v>
      </c>
      <c r="M94" s="12">
        <v>7</v>
      </c>
      <c r="N94" s="12">
        <v>4</v>
      </c>
      <c r="O94" s="12">
        <v>7</v>
      </c>
      <c r="P94" s="12">
        <v>8</v>
      </c>
      <c r="Q94" s="12">
        <v>2</v>
      </c>
      <c r="R94" s="12">
        <v>5</v>
      </c>
      <c r="S94" s="12" t="s">
        <v>45</v>
      </c>
      <c r="T94" s="12">
        <v>7</v>
      </c>
    </row>
    <row r="95" spans="1:20" ht="23.25" customHeight="1" x14ac:dyDescent="0.3">
      <c r="A95" s="12" t="s">
        <v>416</v>
      </c>
      <c r="B95" s="12" t="s">
        <v>417</v>
      </c>
      <c r="C95" s="12" t="s">
        <v>210</v>
      </c>
      <c r="D95" s="13" t="s">
        <v>342</v>
      </c>
      <c r="E95" s="12" t="s">
        <v>212</v>
      </c>
      <c r="F95" s="12" t="s">
        <v>224</v>
      </c>
      <c r="G95" s="14">
        <v>641.5</v>
      </c>
      <c r="H95" s="13" t="s">
        <v>41</v>
      </c>
      <c r="I95" s="13" t="s">
        <v>53</v>
      </c>
      <c r="J95" s="13" t="s">
        <v>70</v>
      </c>
      <c r="K95" s="13" t="s">
        <v>118</v>
      </c>
      <c r="L95" s="12">
        <v>3</v>
      </c>
      <c r="M95" s="12">
        <v>5</v>
      </c>
      <c r="N95" s="12">
        <v>3</v>
      </c>
      <c r="O95" s="12">
        <v>8</v>
      </c>
      <c r="P95" s="12">
        <v>4</v>
      </c>
      <c r="Q95" s="12">
        <v>1</v>
      </c>
      <c r="R95" s="12">
        <v>5</v>
      </c>
      <c r="S95" s="12" t="s">
        <v>110</v>
      </c>
      <c r="T95" s="12">
        <v>7</v>
      </c>
    </row>
    <row r="96" spans="1:20" ht="23.25" customHeight="1" x14ac:dyDescent="0.3">
      <c r="A96" s="12" t="s">
        <v>418</v>
      </c>
      <c r="B96" s="12" t="s">
        <v>419</v>
      </c>
      <c r="C96" s="12" t="s">
        <v>113</v>
      </c>
      <c r="D96" s="13" t="s">
        <v>420</v>
      </c>
      <c r="E96" s="12" t="s">
        <v>278</v>
      </c>
      <c r="F96" s="12" t="s">
        <v>40</v>
      </c>
      <c r="G96" s="14">
        <v>258.5</v>
      </c>
      <c r="H96" s="13" t="s">
        <v>312</v>
      </c>
      <c r="I96" s="13" t="s">
        <v>377</v>
      </c>
      <c r="J96" s="13" t="s">
        <v>60</v>
      </c>
      <c r="K96" s="13" t="s">
        <v>160</v>
      </c>
      <c r="L96" s="12">
        <v>6</v>
      </c>
      <c r="M96" s="12">
        <v>8</v>
      </c>
      <c r="N96" s="12">
        <v>5</v>
      </c>
      <c r="O96" s="12">
        <v>8</v>
      </c>
      <c r="P96" s="12">
        <v>8</v>
      </c>
      <c r="Q96" s="12">
        <v>3</v>
      </c>
      <c r="R96" s="12">
        <v>8</v>
      </c>
      <c r="S96" s="12" t="s">
        <v>102</v>
      </c>
      <c r="T96" s="12">
        <v>7</v>
      </c>
    </row>
    <row r="97" spans="1:20" ht="23.25" customHeight="1" x14ac:dyDescent="0.3">
      <c r="A97" s="12" t="s">
        <v>421</v>
      </c>
      <c r="B97" s="12" t="s">
        <v>422</v>
      </c>
      <c r="C97" s="12" t="s">
        <v>210</v>
      </c>
      <c r="D97" s="13" t="s">
        <v>211</v>
      </c>
      <c r="E97" s="12" t="s">
        <v>256</v>
      </c>
      <c r="F97" s="12" t="s">
        <v>286</v>
      </c>
      <c r="G97" s="14">
        <v>510</v>
      </c>
      <c r="H97" s="13" t="s">
        <v>93</v>
      </c>
      <c r="I97" s="13" t="s">
        <v>176</v>
      </c>
      <c r="J97" s="13" t="s">
        <v>353</v>
      </c>
      <c r="K97" s="13" t="s">
        <v>118</v>
      </c>
      <c r="L97" s="12">
        <v>4</v>
      </c>
      <c r="M97" s="12">
        <v>6</v>
      </c>
      <c r="N97" s="12">
        <v>5</v>
      </c>
      <c r="O97" s="12">
        <v>8</v>
      </c>
      <c r="P97" s="12">
        <v>3</v>
      </c>
      <c r="Q97" s="12">
        <v>3</v>
      </c>
      <c r="R97" s="12">
        <v>7</v>
      </c>
      <c r="S97" s="12" t="s">
        <v>110</v>
      </c>
      <c r="T97" s="12">
        <v>8</v>
      </c>
    </row>
    <row r="98" spans="1:20" ht="23.25" customHeight="1" x14ac:dyDescent="0.3">
      <c r="A98" s="12" t="s">
        <v>423</v>
      </c>
      <c r="B98" s="12" t="s">
        <v>424</v>
      </c>
      <c r="C98" s="12" t="s">
        <v>113</v>
      </c>
      <c r="D98" s="13" t="s">
        <v>268</v>
      </c>
      <c r="E98" s="12" t="s">
        <v>137</v>
      </c>
      <c r="F98" s="12" t="s">
        <v>257</v>
      </c>
      <c r="G98" s="14">
        <v>275.10000000000002</v>
      </c>
      <c r="H98" s="13" t="s">
        <v>41</v>
      </c>
      <c r="I98" s="13" t="s">
        <v>194</v>
      </c>
      <c r="J98" s="13" t="s">
        <v>100</v>
      </c>
      <c r="K98" s="13" t="s">
        <v>126</v>
      </c>
      <c r="L98" s="12">
        <v>6</v>
      </c>
      <c r="M98" s="12">
        <v>6</v>
      </c>
      <c r="N98" s="12">
        <v>5</v>
      </c>
      <c r="O98" s="12">
        <v>8</v>
      </c>
      <c r="P98" s="12">
        <v>8</v>
      </c>
      <c r="Q98" s="12">
        <v>4</v>
      </c>
      <c r="R98" s="12">
        <v>9</v>
      </c>
      <c r="S98" s="12" t="s">
        <v>102</v>
      </c>
      <c r="T98" s="12">
        <v>6</v>
      </c>
    </row>
    <row r="99" spans="1:20" ht="23.25" customHeight="1" x14ac:dyDescent="0.3">
      <c r="A99" s="12" t="s">
        <v>425</v>
      </c>
      <c r="B99" s="12" t="s">
        <v>426</v>
      </c>
      <c r="C99" s="12" t="s">
        <v>350</v>
      </c>
      <c r="D99" s="13" t="s">
        <v>427</v>
      </c>
      <c r="E99" s="12" t="s">
        <v>278</v>
      </c>
      <c r="F99" s="12" t="s">
        <v>428</v>
      </c>
      <c r="G99" s="14">
        <v>440.9</v>
      </c>
      <c r="H99" s="13" t="s">
        <v>175</v>
      </c>
      <c r="I99" s="13" t="s">
        <v>239</v>
      </c>
      <c r="J99" s="13" t="s">
        <v>117</v>
      </c>
      <c r="K99" s="13" t="s">
        <v>71</v>
      </c>
      <c r="L99" s="12">
        <v>6</v>
      </c>
      <c r="M99" s="12">
        <v>7</v>
      </c>
      <c r="N99" s="12">
        <v>6</v>
      </c>
      <c r="O99" s="12">
        <v>5</v>
      </c>
      <c r="P99" s="12">
        <v>6</v>
      </c>
      <c r="Q99" s="12">
        <v>6</v>
      </c>
      <c r="R99" s="12">
        <v>5</v>
      </c>
      <c r="S99" s="12" t="s">
        <v>45</v>
      </c>
      <c r="T99" s="12">
        <v>6</v>
      </c>
    </row>
    <row r="100" spans="1:20" ht="23.25" customHeight="1" x14ac:dyDescent="0.3">
      <c r="A100" s="12" t="s">
        <v>429</v>
      </c>
      <c r="B100" s="12" t="s">
        <v>430</v>
      </c>
      <c r="C100" s="12" t="s">
        <v>350</v>
      </c>
      <c r="D100" s="13" t="s">
        <v>431</v>
      </c>
      <c r="E100" s="12" t="s">
        <v>352</v>
      </c>
      <c r="F100" s="12" t="s">
        <v>224</v>
      </c>
      <c r="G100" s="14">
        <v>607.20000000000005</v>
      </c>
      <c r="H100" s="13" t="s">
        <v>175</v>
      </c>
      <c r="I100" s="13" t="s">
        <v>182</v>
      </c>
      <c r="J100" s="13" t="s">
        <v>117</v>
      </c>
      <c r="K100" s="13" t="s">
        <v>71</v>
      </c>
      <c r="L100" s="12">
        <v>6</v>
      </c>
      <c r="M100" s="12">
        <v>5</v>
      </c>
      <c r="N100" s="12">
        <v>3</v>
      </c>
      <c r="O100" s="12">
        <v>7</v>
      </c>
      <c r="P100" s="12">
        <v>6</v>
      </c>
      <c r="Q100" s="12">
        <v>6</v>
      </c>
      <c r="R100" s="12">
        <v>7</v>
      </c>
      <c r="S100" s="12" t="s">
        <v>102</v>
      </c>
      <c r="T100" s="12">
        <v>6</v>
      </c>
    </row>
    <row r="101" spans="1:20" ht="23.25" customHeight="1" x14ac:dyDescent="0.3">
      <c r="A101" s="12" t="s">
        <v>432</v>
      </c>
      <c r="B101" s="12" t="s">
        <v>433</v>
      </c>
      <c r="C101" s="12" t="s">
        <v>186</v>
      </c>
      <c r="D101" s="13" t="s">
        <v>434</v>
      </c>
      <c r="E101" s="12" t="s">
        <v>413</v>
      </c>
      <c r="F101" s="12" t="s">
        <v>40</v>
      </c>
      <c r="G101" s="14">
        <v>539</v>
      </c>
      <c r="H101" s="13" t="s">
        <v>68</v>
      </c>
      <c r="I101" s="13" t="s">
        <v>182</v>
      </c>
      <c r="J101" s="13" t="s">
        <v>60</v>
      </c>
      <c r="K101" s="13" t="s">
        <v>160</v>
      </c>
      <c r="L101" s="12">
        <v>6</v>
      </c>
      <c r="M101" s="12">
        <v>6</v>
      </c>
      <c r="N101" s="12">
        <v>5</v>
      </c>
      <c r="O101" s="12">
        <v>3</v>
      </c>
      <c r="P101" s="12">
        <v>6</v>
      </c>
      <c r="Q101" s="12">
        <v>6</v>
      </c>
      <c r="R101" s="12">
        <v>2</v>
      </c>
      <c r="S101" s="12" t="s">
        <v>110</v>
      </c>
      <c r="T101" s="12">
        <v>6</v>
      </c>
    </row>
  </sheetData>
  <autoFilter ref="A1:T101" xr:uid="{00000000-0009-0000-0000-000001000000}"/>
  <conditionalFormatting sqref="S2:S101"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conditionalFormatting sqref="T2:T10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2" customWidth="1"/>
    <col min="3" max="5" width="16" customWidth="1"/>
    <col min="6" max="6" width="18" customWidth="1"/>
    <col min="7" max="7" width="16" customWidth="1"/>
    <col min="8" max="8" width="13" hidden="1" customWidth="1"/>
  </cols>
  <sheetData>
    <row r="1" spans="1:8" ht="34.5" customHeight="1" x14ac:dyDescent="0.3">
      <c r="A1" s="11" t="s">
        <v>15</v>
      </c>
      <c r="B1" s="11" t="s">
        <v>16</v>
      </c>
      <c r="C1" s="11" t="s">
        <v>17</v>
      </c>
      <c r="D1" s="11" t="s">
        <v>435</v>
      </c>
      <c r="E1" s="11" t="s">
        <v>436</v>
      </c>
      <c r="F1" s="11" t="s">
        <v>437</v>
      </c>
      <c r="G1" s="11" t="s">
        <v>438</v>
      </c>
      <c r="H1" s="15" t="s">
        <v>439</v>
      </c>
    </row>
    <row r="2" spans="1:8" ht="15" customHeight="1" x14ac:dyDescent="0.3">
      <c r="A2" s="16" t="str">
        <f>Data!A2</f>
        <v>ST001</v>
      </c>
      <c r="B2" s="16" t="str">
        <f>Data!B2</f>
        <v>FreshBite Solutions</v>
      </c>
      <c r="C2" s="16" t="str">
        <f>Data!C2</f>
        <v>FoodTech</v>
      </c>
      <c r="D2" s="16">
        <f>AVERAGE(Data!L2:Q2)</f>
        <v>5.333333333333333</v>
      </c>
      <c r="E2" s="16">
        <f>ROUND((0.4*Data!T2+0.35*(10-Data!R2)+0.25*D2),1)</f>
        <v>5.0999999999999996</v>
      </c>
      <c r="F2" s="16">
        <f>ROUND((0.4*Data!T2+0.35*E2+0.25*MIN(10,Data!G2/65)),1)</f>
        <v>4.5999999999999996</v>
      </c>
      <c r="G2" s="16">
        <f>ROUND(AVERAGE(Data!M2,Data!N2,Data!O2),1)</f>
        <v>6.7</v>
      </c>
      <c r="H2">
        <f t="shared" ref="H2:H33" si="0">F2+ROW()/100000</f>
        <v>4.6000199999999998</v>
      </c>
    </row>
    <row r="3" spans="1:8" ht="15" customHeight="1" x14ac:dyDescent="0.3">
      <c r="A3" s="16" t="str">
        <f>Data!A3</f>
        <v>ST002</v>
      </c>
      <c r="B3" s="16" t="str">
        <f>Data!B3</f>
        <v>BrightPath Labs</v>
      </c>
      <c r="C3" s="16" t="str">
        <f>Data!C3</f>
        <v>EdTech</v>
      </c>
      <c r="D3" s="16">
        <f>AVERAGE(Data!L3:Q3)</f>
        <v>5.166666666666667</v>
      </c>
      <c r="E3" s="16">
        <f>ROUND((0.4*Data!T3+0.35*(10-Data!R3)+0.25*D3),1)</f>
        <v>4.7</v>
      </c>
      <c r="F3" s="16">
        <f>ROUND((0.4*Data!T3+0.35*E3+0.25*MIN(10,Data!G3/65)),1)</f>
        <v>5.6</v>
      </c>
      <c r="G3" s="16">
        <f>ROUND(AVERAGE(Data!M3,Data!N3,Data!O3),1)</f>
        <v>6</v>
      </c>
      <c r="H3">
        <f t="shared" si="0"/>
        <v>5.6000299999999994</v>
      </c>
    </row>
    <row r="4" spans="1:8" ht="15" customHeight="1" x14ac:dyDescent="0.3">
      <c r="A4" s="16" t="str">
        <f>Data!A4</f>
        <v>ST003</v>
      </c>
      <c r="B4" s="16" t="str">
        <f>Data!B4</f>
        <v>NutriNest Labs</v>
      </c>
      <c r="C4" s="16" t="str">
        <f>Data!C4</f>
        <v>FoodTech</v>
      </c>
      <c r="D4" s="16">
        <f>AVERAGE(Data!L4:Q4)</f>
        <v>4.5</v>
      </c>
      <c r="E4" s="16">
        <f>ROUND((0.4*Data!T4+0.35*(10-Data!R4)+0.25*D4),1)</f>
        <v>3.1</v>
      </c>
      <c r="F4" s="16">
        <f>ROUND((0.4*Data!T4+0.35*E4+0.25*MIN(10,Data!G4/65)),1)</f>
        <v>5.3</v>
      </c>
      <c r="G4" s="16">
        <f>ROUND(AVERAGE(Data!M4,Data!N4,Data!O4),1)</f>
        <v>5.3</v>
      </c>
      <c r="H4">
        <f t="shared" si="0"/>
        <v>5.3000400000000001</v>
      </c>
    </row>
    <row r="5" spans="1:8" ht="15" customHeight="1" x14ac:dyDescent="0.3">
      <c r="A5" s="16" t="str">
        <f>Data!A5</f>
        <v>ST004</v>
      </c>
      <c r="B5" s="16" t="str">
        <f>Data!B5</f>
        <v>JurisRoot Technologies</v>
      </c>
      <c r="C5" s="16" t="str">
        <f>Data!C5</f>
        <v>LegalTech</v>
      </c>
      <c r="D5" s="16">
        <f>AVERAGE(Data!L5:Q5)</f>
        <v>4.5</v>
      </c>
      <c r="E5" s="16">
        <f>ROUND((0.4*Data!T5+0.35*(10-Data!R5)+0.25*D5),1)</f>
        <v>4.7</v>
      </c>
      <c r="F5" s="16">
        <f>ROUND((0.4*Data!T5+0.35*E5+0.25*MIN(10,Data!G5/65)),1)</f>
        <v>3</v>
      </c>
      <c r="G5" s="16">
        <f>ROUND(AVERAGE(Data!M5,Data!N5,Data!O5),1)</f>
        <v>3.7</v>
      </c>
      <c r="H5">
        <f t="shared" si="0"/>
        <v>3.0000499999999999</v>
      </c>
    </row>
    <row r="6" spans="1:8" ht="15" customHeight="1" x14ac:dyDescent="0.3">
      <c r="A6" s="16" t="str">
        <f>Data!A6</f>
        <v>ST005</v>
      </c>
      <c r="B6" s="16" t="str">
        <f>Data!B6</f>
        <v>InferNest</v>
      </c>
      <c r="C6" s="16" t="str">
        <f>Data!C6</f>
        <v>AI/ML</v>
      </c>
      <c r="D6" s="16">
        <f>AVERAGE(Data!L6:Q6)</f>
        <v>6</v>
      </c>
      <c r="E6" s="16">
        <f>ROUND((0.4*Data!T6+0.35*(10-Data!R6)+0.25*D6),1)</f>
        <v>5.3</v>
      </c>
      <c r="F6" s="16">
        <f>ROUND((0.4*Data!T6+0.35*E6+0.25*MIN(10,Data!G6/65)),1)</f>
        <v>4.5</v>
      </c>
      <c r="G6" s="16">
        <f>ROUND(AVERAGE(Data!M6,Data!N6,Data!O6),1)</f>
        <v>7</v>
      </c>
      <c r="H6">
        <f t="shared" si="0"/>
        <v>4.5000600000000004</v>
      </c>
    </row>
    <row r="7" spans="1:8" ht="15" customHeight="1" x14ac:dyDescent="0.3">
      <c r="A7" s="16" t="str">
        <f>Data!A7</f>
        <v>ST006</v>
      </c>
      <c r="B7" s="16" t="str">
        <f>Data!B7</f>
        <v>ChargeNova</v>
      </c>
      <c r="C7" s="16" t="str">
        <f>Data!C7</f>
        <v>CleanTech/EV</v>
      </c>
      <c r="D7" s="16">
        <f>AVERAGE(Data!L7:Q7)</f>
        <v>7</v>
      </c>
      <c r="E7" s="16">
        <f>ROUND((0.4*Data!T7+0.35*(10-Data!R7)+0.25*D7),1)</f>
        <v>5.6</v>
      </c>
      <c r="F7" s="16">
        <f>ROUND((0.4*Data!T7+0.35*E7+0.25*MIN(10,Data!G7/65)),1)</f>
        <v>5.5</v>
      </c>
      <c r="G7" s="16">
        <f>ROUND(AVERAGE(Data!M7,Data!N7,Data!O7),1)</f>
        <v>6.3</v>
      </c>
      <c r="H7">
        <f t="shared" si="0"/>
        <v>5.50007</v>
      </c>
    </row>
    <row r="8" spans="1:8" ht="15" customHeight="1" x14ac:dyDescent="0.3">
      <c r="A8" s="16" t="str">
        <f>Data!A8</f>
        <v>ST007</v>
      </c>
      <c r="B8" s="16" t="str">
        <f>Data!B8</f>
        <v>PeopleNest</v>
      </c>
      <c r="C8" s="16" t="str">
        <f>Data!C8</f>
        <v>HR Tech</v>
      </c>
      <c r="D8" s="16">
        <f>AVERAGE(Data!L8:Q8)</f>
        <v>4.333333333333333</v>
      </c>
      <c r="E8" s="16">
        <f>ROUND((0.4*Data!T8+0.35*(10-Data!R8)+0.25*D8),1)</f>
        <v>4.9000000000000004</v>
      </c>
      <c r="F8" s="16">
        <f>ROUND((0.4*Data!T8+0.35*E8+0.25*MIN(10,Data!G8/65)),1)</f>
        <v>6.8</v>
      </c>
      <c r="G8" s="16">
        <f>ROUND(AVERAGE(Data!M8,Data!N8,Data!O8),1)</f>
        <v>5.7</v>
      </c>
      <c r="H8">
        <f t="shared" si="0"/>
        <v>6.8000799999999995</v>
      </c>
    </row>
    <row r="9" spans="1:8" ht="15" customHeight="1" x14ac:dyDescent="0.3">
      <c r="A9" s="16" t="str">
        <f>Data!A9</f>
        <v>ST008</v>
      </c>
      <c r="B9" s="16" t="str">
        <f>Data!B9</f>
        <v>JurisRoot Solutions</v>
      </c>
      <c r="C9" s="16" t="str">
        <f>Data!C9</f>
        <v>LegalTech</v>
      </c>
      <c r="D9" s="16">
        <f>AVERAGE(Data!L9:Q9)</f>
        <v>4.333333333333333</v>
      </c>
      <c r="E9" s="16">
        <f>ROUND((0.4*Data!T9+0.35*(10-Data!R9)+0.25*D9),1)</f>
        <v>3.3</v>
      </c>
      <c r="F9" s="16">
        <f>ROUND((0.4*Data!T9+0.35*E9+0.25*MIN(10,Data!G9/65)),1)</f>
        <v>3.3</v>
      </c>
      <c r="G9" s="16">
        <f>ROUND(AVERAGE(Data!M9,Data!N9,Data!O9),1)</f>
        <v>3.7</v>
      </c>
      <c r="H9">
        <f t="shared" si="0"/>
        <v>3.30009</v>
      </c>
    </row>
    <row r="10" spans="1:8" ht="15" customHeight="1" x14ac:dyDescent="0.3">
      <c r="A10" s="16" t="str">
        <f>Data!A10</f>
        <v>ST009</v>
      </c>
      <c r="B10" s="16" t="str">
        <f>Data!B10</f>
        <v>ArenaRoot Networks</v>
      </c>
      <c r="C10" s="16" t="str">
        <f>Data!C10</f>
        <v>Gaming &amp; Esports</v>
      </c>
      <c r="D10" s="16">
        <f>AVERAGE(Data!L10:Q10)</f>
        <v>4.333333333333333</v>
      </c>
      <c r="E10" s="16">
        <f>ROUND((0.4*Data!T10+0.35*(10-Data!R10)+0.25*D10),1)</f>
        <v>3.7</v>
      </c>
      <c r="F10" s="16">
        <f>ROUND((0.4*Data!T10+0.35*E10+0.25*MIN(10,Data!G10/65)),1)</f>
        <v>3</v>
      </c>
      <c r="G10" s="16">
        <f>ROUND(AVERAGE(Data!M10,Data!N10,Data!O10),1)</f>
        <v>6.3</v>
      </c>
      <c r="H10">
        <f t="shared" si="0"/>
        <v>3.0001000000000002</v>
      </c>
    </row>
    <row r="11" spans="1:8" ht="15" customHeight="1" x14ac:dyDescent="0.3">
      <c r="A11" s="16" t="str">
        <f>Data!A11</f>
        <v>ST010</v>
      </c>
      <c r="B11" s="16" t="str">
        <f>Data!B11</f>
        <v>MoneyMint Technologies</v>
      </c>
      <c r="C11" s="16" t="str">
        <f>Data!C11</f>
        <v>FinTech</v>
      </c>
      <c r="D11" s="16">
        <f>AVERAGE(Data!L11:Q11)</f>
        <v>5.166666666666667</v>
      </c>
      <c r="E11" s="16">
        <f>ROUND((0.4*Data!T11+0.35*(10-Data!R11)+0.25*D11),1)</f>
        <v>4.7</v>
      </c>
      <c r="F11" s="16">
        <f>ROUND((0.4*Data!T11+0.35*E11+0.25*MIN(10,Data!G11/65)),1)</f>
        <v>5.5</v>
      </c>
      <c r="G11" s="16">
        <f>ROUND(AVERAGE(Data!M11,Data!N11,Data!O11),1)</f>
        <v>6.3</v>
      </c>
      <c r="H11">
        <f t="shared" si="0"/>
        <v>5.5001100000000003</v>
      </c>
    </row>
    <row r="12" spans="1:8" ht="15" customHeight="1" x14ac:dyDescent="0.3">
      <c r="A12" s="16" t="str">
        <f>Data!A12</f>
        <v>ST011</v>
      </c>
      <c r="B12" s="16" t="str">
        <f>Data!B12</f>
        <v>MartRoot</v>
      </c>
      <c r="C12" s="16" t="str">
        <f>Data!C12</f>
        <v>E-commerce</v>
      </c>
      <c r="D12" s="16">
        <f>AVERAGE(Data!L12:Q12)</f>
        <v>5.5</v>
      </c>
      <c r="E12" s="16">
        <f>ROUND((0.4*Data!T12+0.35*(10-Data!R12)+0.25*D12),1)</f>
        <v>4.0999999999999996</v>
      </c>
      <c r="F12" s="16">
        <f>ROUND((0.4*Data!T12+0.35*E12+0.25*MIN(10,Data!G12/65)),1)</f>
        <v>3.7</v>
      </c>
      <c r="G12" s="16">
        <f>ROUND(AVERAGE(Data!M12,Data!N12,Data!O12),1)</f>
        <v>6.7</v>
      </c>
      <c r="H12">
        <f t="shared" si="0"/>
        <v>3.7001200000000001</v>
      </c>
    </row>
    <row r="13" spans="1:8" ht="15" customHeight="1" x14ac:dyDescent="0.3">
      <c r="A13" s="16" t="str">
        <f>Data!A13</f>
        <v>ST012</v>
      </c>
      <c r="B13" s="16" t="str">
        <f>Data!B13</f>
        <v>PolicyLoop</v>
      </c>
      <c r="C13" s="16" t="str">
        <f>Data!C13</f>
        <v>InsurTech</v>
      </c>
      <c r="D13" s="16">
        <f>AVERAGE(Data!L13:Q13)</f>
        <v>5.666666666666667</v>
      </c>
      <c r="E13" s="16">
        <f>ROUND((0.4*Data!T13+0.35*(10-Data!R13)+0.25*D13),1)</f>
        <v>4.8</v>
      </c>
      <c r="F13" s="16">
        <f>ROUND((0.4*Data!T13+0.35*E13+0.25*MIN(10,Data!G13/65)),1)</f>
        <v>3.4</v>
      </c>
      <c r="G13" s="16">
        <f>ROUND(AVERAGE(Data!M13,Data!N13,Data!O13),1)</f>
        <v>6</v>
      </c>
      <c r="H13">
        <f t="shared" si="0"/>
        <v>3.4001299999999999</v>
      </c>
    </row>
    <row r="14" spans="1:8" ht="15" customHeight="1" x14ac:dyDescent="0.3">
      <c r="A14" s="16" t="str">
        <f>Data!A14</f>
        <v>ST013</v>
      </c>
      <c r="B14" s="16" t="str">
        <f>Data!B14</f>
        <v>TalentNova</v>
      </c>
      <c r="C14" s="16" t="str">
        <f>Data!C14</f>
        <v>HR Tech</v>
      </c>
      <c r="D14" s="16">
        <f>AVERAGE(Data!L14:Q14)</f>
        <v>5.166666666666667</v>
      </c>
      <c r="E14" s="16">
        <f>ROUND((0.4*Data!T14+0.35*(10-Data!R14)+0.25*D14),1)</f>
        <v>6.2</v>
      </c>
      <c r="F14" s="16">
        <f>ROUND((0.4*Data!T14+0.35*E14+0.25*MIN(10,Data!G14/65)),1)</f>
        <v>5.8</v>
      </c>
      <c r="G14" s="16">
        <f>ROUND(AVERAGE(Data!M14,Data!N14,Data!O14),1)</f>
        <v>7</v>
      </c>
      <c r="H14">
        <f t="shared" si="0"/>
        <v>5.8001399999999999</v>
      </c>
    </row>
    <row r="15" spans="1:8" ht="15" customHeight="1" x14ac:dyDescent="0.3">
      <c r="A15" s="16" t="str">
        <f>Data!A15</f>
        <v>ST014</v>
      </c>
      <c r="B15" s="16" t="str">
        <f>Data!B15</f>
        <v>CargoLoop Labs</v>
      </c>
      <c r="C15" s="16" t="str">
        <f>Data!C15</f>
        <v>Logistics &amp; Supply Chain</v>
      </c>
      <c r="D15" s="16">
        <f>AVERAGE(Data!L15:Q15)</f>
        <v>5.833333333333333</v>
      </c>
      <c r="E15" s="16">
        <f>ROUND((0.4*Data!T15+0.35*(10-Data!R15)+0.25*D15),1)</f>
        <v>5</v>
      </c>
      <c r="F15" s="16">
        <f>ROUND((0.4*Data!T15+0.35*E15+0.25*MIN(10,Data!G15/65)),1)</f>
        <v>6.4</v>
      </c>
      <c r="G15" s="16">
        <f>ROUND(AVERAGE(Data!M15,Data!N15,Data!O15),1)</f>
        <v>7</v>
      </c>
      <c r="H15">
        <f t="shared" si="0"/>
        <v>6.40015</v>
      </c>
    </row>
    <row r="16" spans="1:8" ht="15" customHeight="1" x14ac:dyDescent="0.3">
      <c r="A16" s="16" t="str">
        <f>Data!A16</f>
        <v>ST015</v>
      </c>
      <c r="B16" s="16" t="str">
        <f>Data!B16</f>
        <v>SafeNest</v>
      </c>
      <c r="C16" s="16" t="str">
        <f>Data!C16</f>
        <v>InsurTech</v>
      </c>
      <c r="D16" s="16">
        <f>AVERAGE(Data!L16:Q16)</f>
        <v>5.166666666666667</v>
      </c>
      <c r="E16" s="16">
        <f>ROUND((0.4*Data!T16+0.35*(10-Data!R16)+0.25*D16),1)</f>
        <v>5.0999999999999996</v>
      </c>
      <c r="F16" s="16">
        <f>ROUND((0.4*Data!T16+0.35*E16+0.25*MIN(10,Data!G16/65)),1)</f>
        <v>5.8</v>
      </c>
      <c r="G16" s="16">
        <f>ROUND(AVERAGE(Data!M16,Data!N16,Data!O16),1)</f>
        <v>5.3</v>
      </c>
      <c r="H16">
        <f t="shared" si="0"/>
        <v>5.80016</v>
      </c>
    </row>
    <row r="17" spans="1:8" ht="15" customHeight="1" x14ac:dyDescent="0.3">
      <c r="A17" s="16" t="str">
        <f>Data!A17</f>
        <v>ST016</v>
      </c>
      <c r="B17" s="16" t="str">
        <f>Data!B17</f>
        <v>EduSpark Solutions</v>
      </c>
      <c r="C17" s="16" t="str">
        <f>Data!C17</f>
        <v>EdTech</v>
      </c>
      <c r="D17" s="16">
        <f>AVERAGE(Data!L17:Q17)</f>
        <v>5.666666666666667</v>
      </c>
      <c r="E17" s="16">
        <f>ROUND((0.4*Data!T17+0.35*(10-Data!R17)+0.25*D17),1)</f>
        <v>4.8</v>
      </c>
      <c r="F17" s="16">
        <f>ROUND((0.4*Data!T17+0.35*E17+0.25*MIN(10,Data!G17/65)),1)</f>
        <v>4.5999999999999996</v>
      </c>
      <c r="G17" s="16">
        <f>ROUND(AVERAGE(Data!M17,Data!N17,Data!O17),1)</f>
        <v>6.3</v>
      </c>
      <c r="H17">
        <f t="shared" si="0"/>
        <v>4.6001699999999994</v>
      </c>
    </row>
    <row r="18" spans="1:8" ht="15" customHeight="1" x14ac:dyDescent="0.3">
      <c r="A18" s="16" t="str">
        <f>Data!A18</f>
        <v>ST017</v>
      </c>
      <c r="B18" s="16" t="str">
        <f>Data!B18</f>
        <v>JurisRoot</v>
      </c>
      <c r="C18" s="16" t="str">
        <f>Data!C18</f>
        <v>LegalTech</v>
      </c>
      <c r="D18" s="16">
        <f>AVERAGE(Data!L18:Q18)</f>
        <v>4.833333333333333</v>
      </c>
      <c r="E18" s="16">
        <f>ROUND((0.4*Data!T18+0.35*(10-Data!R18)+0.25*D18),1)</f>
        <v>6.5</v>
      </c>
      <c r="F18" s="16">
        <f>ROUND((0.4*Data!T18+0.35*E18+0.25*MIN(10,Data!G18/65)),1)</f>
        <v>7.4</v>
      </c>
      <c r="G18" s="16">
        <f>ROUND(AVERAGE(Data!M18,Data!N18,Data!O18),1)</f>
        <v>4.7</v>
      </c>
      <c r="H18">
        <f t="shared" si="0"/>
        <v>7.4001800000000006</v>
      </c>
    </row>
    <row r="19" spans="1:8" ht="15" customHeight="1" x14ac:dyDescent="0.3">
      <c r="A19" s="16" t="str">
        <f>Data!A19</f>
        <v>ST018</v>
      </c>
      <c r="B19" s="16" t="str">
        <f>Data!B19</f>
        <v>ShieldRoot Solutions</v>
      </c>
      <c r="C19" s="16" t="str">
        <f>Data!C19</f>
        <v>Cybersecurity</v>
      </c>
      <c r="D19" s="16">
        <f>AVERAGE(Data!L19:Q19)</f>
        <v>5.333333333333333</v>
      </c>
      <c r="E19" s="16">
        <f>ROUND((0.4*Data!T19+0.35*(10-Data!R19)+0.25*D19),1)</f>
        <v>4.7</v>
      </c>
      <c r="F19" s="16">
        <f>ROUND((0.4*Data!T19+0.35*E19+0.25*MIN(10,Data!G19/65)),1)</f>
        <v>4.2</v>
      </c>
      <c r="G19" s="16">
        <f>ROUND(AVERAGE(Data!M19,Data!N19,Data!O19),1)</f>
        <v>5.3</v>
      </c>
      <c r="H19">
        <f t="shared" si="0"/>
        <v>4.2001900000000001</v>
      </c>
    </row>
    <row r="20" spans="1:8" ht="15" customHeight="1" x14ac:dyDescent="0.3">
      <c r="A20" s="16" t="str">
        <f>Data!A20</f>
        <v>ST019</v>
      </c>
      <c r="B20" s="16" t="str">
        <f>Data!B20</f>
        <v>PlateNova Technologies</v>
      </c>
      <c r="C20" s="16" t="str">
        <f>Data!C20</f>
        <v>FoodTech</v>
      </c>
      <c r="D20" s="16">
        <f>AVERAGE(Data!L20:Q20)</f>
        <v>4.166666666666667</v>
      </c>
      <c r="E20" s="16">
        <f>ROUND((0.4*Data!T20+0.35*(10-Data!R20)+0.25*D20),1)</f>
        <v>2.6</v>
      </c>
      <c r="F20" s="16">
        <f>ROUND((0.4*Data!T20+0.35*E20+0.25*MIN(10,Data!G20/65)),1)</f>
        <v>2.6</v>
      </c>
      <c r="G20" s="16">
        <f>ROUND(AVERAGE(Data!M20,Data!N20,Data!O20),1)</f>
        <v>5.3</v>
      </c>
      <c r="H20">
        <f t="shared" si="0"/>
        <v>2.6002000000000001</v>
      </c>
    </row>
    <row r="21" spans="1:8" ht="15" customHeight="1" x14ac:dyDescent="0.3">
      <c r="A21" s="16" t="str">
        <f>Data!A21</f>
        <v>ST020</v>
      </c>
      <c r="B21" s="16" t="str">
        <f>Data!B21</f>
        <v>SecNova Technologies</v>
      </c>
      <c r="C21" s="16" t="str">
        <f>Data!C21</f>
        <v>Cybersecurity</v>
      </c>
      <c r="D21" s="16">
        <f>AVERAGE(Data!L21:Q21)</f>
        <v>5</v>
      </c>
      <c r="E21" s="16">
        <f>ROUND((0.4*Data!T21+0.35*(10-Data!R21)+0.25*D21),1)</f>
        <v>5.5</v>
      </c>
      <c r="F21" s="16">
        <f>ROUND((0.4*Data!T21+0.35*E21+0.25*MIN(10,Data!G21/65)),1)</f>
        <v>7.1</v>
      </c>
      <c r="G21" s="16">
        <f>ROUND(AVERAGE(Data!M21,Data!N21,Data!O21),1)</f>
        <v>5</v>
      </c>
      <c r="H21">
        <f t="shared" si="0"/>
        <v>7.1002099999999997</v>
      </c>
    </row>
    <row r="22" spans="1:8" ht="15" customHeight="1" x14ac:dyDescent="0.3">
      <c r="A22" s="16" t="str">
        <f>Data!A22</f>
        <v>ST021</v>
      </c>
      <c r="B22" s="16" t="str">
        <f>Data!B22</f>
        <v>MoneyMint Networks</v>
      </c>
      <c r="C22" s="16" t="str">
        <f>Data!C22</f>
        <v>FinTech</v>
      </c>
      <c r="D22" s="16">
        <f>AVERAGE(Data!L22:Q22)</f>
        <v>6.166666666666667</v>
      </c>
      <c r="E22" s="16">
        <f>ROUND((0.4*Data!T22+0.35*(10-Data!R22)+0.25*D22),1)</f>
        <v>4.7</v>
      </c>
      <c r="F22" s="16">
        <f>ROUND((0.4*Data!T22+0.35*E22+0.25*MIN(10,Data!G22/65)),1)</f>
        <v>6.3</v>
      </c>
      <c r="G22" s="16">
        <f>ROUND(AVERAGE(Data!M22,Data!N22,Data!O22),1)</f>
        <v>6.3</v>
      </c>
      <c r="H22">
        <f t="shared" si="0"/>
        <v>6.3002199999999995</v>
      </c>
    </row>
    <row r="23" spans="1:8" ht="15" customHeight="1" x14ac:dyDescent="0.3">
      <c r="A23" s="16" t="str">
        <f>Data!A23</f>
        <v>ST022</v>
      </c>
      <c r="B23" s="16" t="str">
        <f>Data!B23</f>
        <v>MediNest Technologies</v>
      </c>
      <c r="C23" s="16" t="str">
        <f>Data!C23</f>
        <v>HealthTech</v>
      </c>
      <c r="D23" s="16">
        <f>AVERAGE(Data!L23:Q23)</f>
        <v>5.833333333333333</v>
      </c>
      <c r="E23" s="16">
        <f>ROUND((0.4*Data!T23+0.35*(10-Data!R23)+0.25*D23),1)</f>
        <v>5.3</v>
      </c>
      <c r="F23" s="16">
        <f>ROUND((0.4*Data!T23+0.35*E23+0.25*MIN(10,Data!G23/65)),1)</f>
        <v>6</v>
      </c>
      <c r="G23" s="16">
        <f>ROUND(AVERAGE(Data!M23,Data!N23,Data!O23),1)</f>
        <v>5.7</v>
      </c>
      <c r="H23">
        <f t="shared" si="0"/>
        <v>6.0002300000000002</v>
      </c>
    </row>
    <row r="24" spans="1:8" ht="15" customHeight="1" x14ac:dyDescent="0.3">
      <c r="A24" s="16" t="str">
        <f>Data!A24</f>
        <v>ST023</v>
      </c>
      <c r="B24" s="16" t="str">
        <f>Data!B24</f>
        <v>GreenAcre Networks</v>
      </c>
      <c r="C24" s="16" t="str">
        <f>Data!C24</f>
        <v>AgriTech</v>
      </c>
      <c r="D24" s="16">
        <f>AVERAGE(Data!L24:Q24)</f>
        <v>6.833333333333333</v>
      </c>
      <c r="E24" s="16">
        <f>ROUND((0.4*Data!T24+0.35*(10-Data!R24)+0.25*D24),1)</f>
        <v>5.5</v>
      </c>
      <c r="F24" s="16">
        <f>ROUND((0.4*Data!T24+0.35*E24+0.25*MIN(10,Data!G24/65)),1)</f>
        <v>5.0999999999999996</v>
      </c>
      <c r="G24" s="16">
        <f>ROUND(AVERAGE(Data!M24,Data!N24,Data!O24),1)</f>
        <v>6.7</v>
      </c>
      <c r="H24">
        <f t="shared" si="0"/>
        <v>5.1002399999999994</v>
      </c>
    </row>
    <row r="25" spans="1:8" ht="15" customHeight="1" x14ac:dyDescent="0.3">
      <c r="A25" s="16" t="str">
        <f>Data!A25</f>
        <v>ST024</v>
      </c>
      <c r="B25" s="16" t="str">
        <f>Data!B25</f>
        <v>QuestNest Labs</v>
      </c>
      <c r="C25" s="16" t="str">
        <f>Data!C25</f>
        <v>Gaming &amp; Esports</v>
      </c>
      <c r="D25" s="16">
        <f>AVERAGE(Data!L25:Q25)</f>
        <v>5</v>
      </c>
      <c r="E25" s="16">
        <f>ROUND((0.4*Data!T25+0.35*(10-Data!R25)+0.25*D25),1)</f>
        <v>4.3</v>
      </c>
      <c r="F25" s="16">
        <f>ROUND((0.4*Data!T25+0.35*E25+0.25*MIN(10,Data!G25/65)),1)</f>
        <v>4.8</v>
      </c>
      <c r="G25" s="16">
        <f>ROUND(AVERAGE(Data!M25,Data!N25,Data!O25),1)</f>
        <v>6</v>
      </c>
      <c r="H25">
        <f t="shared" si="0"/>
        <v>4.8002500000000001</v>
      </c>
    </row>
    <row r="26" spans="1:8" ht="15" customHeight="1" x14ac:dyDescent="0.3">
      <c r="A26" s="16" t="str">
        <f>Data!A26</f>
        <v>ST025</v>
      </c>
      <c r="B26" s="16" t="str">
        <f>Data!B26</f>
        <v>InferNest Solutions</v>
      </c>
      <c r="C26" s="16" t="str">
        <f>Data!C26</f>
        <v>AI/ML</v>
      </c>
      <c r="D26" s="16">
        <f>AVERAGE(Data!L26:Q26)</f>
        <v>5.333333333333333</v>
      </c>
      <c r="E26" s="16">
        <f>ROUND((0.4*Data!T26+0.35*(10-Data!R26)+0.25*D26),1)</f>
        <v>5.0999999999999996</v>
      </c>
      <c r="F26" s="16">
        <f>ROUND((0.4*Data!T26+0.35*E26+0.25*MIN(10,Data!G26/65)),1)</f>
        <v>5.4</v>
      </c>
      <c r="G26" s="16">
        <f>ROUND(AVERAGE(Data!M26,Data!N26,Data!O26),1)</f>
        <v>6.3</v>
      </c>
      <c r="H26">
        <f t="shared" si="0"/>
        <v>5.4002600000000003</v>
      </c>
    </row>
    <row r="27" spans="1:8" ht="15" customHeight="1" x14ac:dyDescent="0.3">
      <c r="A27" s="16" t="str">
        <f>Data!A27</f>
        <v>ST026</v>
      </c>
      <c r="B27" s="16" t="str">
        <f>Data!B27</f>
        <v>ChargeNova Labs</v>
      </c>
      <c r="C27" s="16" t="str">
        <f>Data!C27</f>
        <v>CleanTech/EV</v>
      </c>
      <c r="D27" s="16">
        <f>AVERAGE(Data!L27:Q27)</f>
        <v>7</v>
      </c>
      <c r="E27" s="16">
        <f>ROUND((0.4*Data!T27+0.35*(10-Data!R27)+0.25*D27),1)</f>
        <v>5.2</v>
      </c>
      <c r="F27" s="16">
        <f>ROUND((0.4*Data!T27+0.35*E27+0.25*MIN(10,Data!G27/65)),1)</f>
        <v>4.8</v>
      </c>
      <c r="G27" s="16">
        <f>ROUND(AVERAGE(Data!M27,Data!N27,Data!O27),1)</f>
        <v>6.3</v>
      </c>
      <c r="H27">
        <f t="shared" si="0"/>
        <v>4.8002700000000003</v>
      </c>
    </row>
    <row r="28" spans="1:8" ht="15" customHeight="1" x14ac:dyDescent="0.3">
      <c r="A28" s="16" t="str">
        <f>Data!A28</f>
        <v>ST027</v>
      </c>
      <c r="B28" s="16" t="str">
        <f>Data!B28</f>
        <v>FreightRoot Networks</v>
      </c>
      <c r="C28" s="16" t="str">
        <f>Data!C28</f>
        <v>Logistics &amp; Supply Chain</v>
      </c>
      <c r="D28" s="16">
        <f>AVERAGE(Data!L28:Q28)</f>
        <v>5.666666666666667</v>
      </c>
      <c r="E28" s="16">
        <f>ROUND((0.4*Data!T28+0.35*(10-Data!R28)+0.25*D28),1)</f>
        <v>4.9000000000000004</v>
      </c>
      <c r="F28" s="16">
        <f>ROUND((0.4*Data!T28+0.35*E28+0.25*MIN(10,Data!G28/65)),1)</f>
        <v>6.2</v>
      </c>
      <c r="G28" s="16">
        <f>ROUND(AVERAGE(Data!M28,Data!N28,Data!O28),1)</f>
        <v>6</v>
      </c>
      <c r="H28">
        <f t="shared" si="0"/>
        <v>6.2002800000000002</v>
      </c>
    </row>
    <row r="29" spans="1:8" ht="15" customHeight="1" x14ac:dyDescent="0.3">
      <c r="A29" s="16" t="str">
        <f>Data!A29</f>
        <v>ST028</v>
      </c>
      <c r="B29" s="16" t="str">
        <f>Data!B29</f>
        <v>OpsRoot</v>
      </c>
      <c r="C29" s="16" t="str">
        <f>Data!C29</f>
        <v>SaaS / Enterprise Software</v>
      </c>
      <c r="D29" s="16">
        <f>AVERAGE(Data!L29:Q29)</f>
        <v>5.5</v>
      </c>
      <c r="E29" s="16">
        <f>ROUND((0.4*Data!T29+0.35*(10-Data!R29)+0.25*D29),1)</f>
        <v>6.4</v>
      </c>
      <c r="F29" s="16">
        <f>ROUND((0.4*Data!T29+0.35*E29+0.25*MIN(10,Data!G29/65)),1)</f>
        <v>8.1999999999999993</v>
      </c>
      <c r="G29" s="16">
        <f>ROUND(AVERAGE(Data!M29,Data!N29,Data!O29),1)</f>
        <v>6.7</v>
      </c>
      <c r="H29">
        <f t="shared" si="0"/>
        <v>8.200289999999999</v>
      </c>
    </row>
    <row r="30" spans="1:8" ht="15" customHeight="1" x14ac:dyDescent="0.3">
      <c r="A30" s="16" t="str">
        <f>Data!A30</f>
        <v>ST029</v>
      </c>
      <c r="B30" s="16" t="str">
        <f>Data!B30</f>
        <v>GameLoop</v>
      </c>
      <c r="C30" s="16" t="str">
        <f>Data!C30</f>
        <v>Gaming &amp; Esports</v>
      </c>
      <c r="D30" s="16">
        <f>AVERAGE(Data!L30:Q30)</f>
        <v>4.666666666666667</v>
      </c>
      <c r="E30" s="16">
        <f>ROUND((0.4*Data!T30+0.35*(10-Data!R30)+0.25*D30),1)</f>
        <v>3.9</v>
      </c>
      <c r="F30" s="16">
        <f>ROUND((0.4*Data!T30+0.35*E30+0.25*MIN(10,Data!G30/65)),1)</f>
        <v>4.5</v>
      </c>
      <c r="G30" s="16">
        <f>ROUND(AVERAGE(Data!M30,Data!N30,Data!O30),1)</f>
        <v>6.3</v>
      </c>
      <c r="H30">
        <f t="shared" si="0"/>
        <v>4.5003000000000002</v>
      </c>
    </row>
    <row r="31" spans="1:8" ht="15" customHeight="1" x14ac:dyDescent="0.3">
      <c r="A31" s="16" t="str">
        <f>Data!A31</f>
        <v>ST030</v>
      </c>
      <c r="B31" s="16" t="str">
        <f>Data!B31</f>
        <v>VoyageLoop</v>
      </c>
      <c r="C31" s="16" t="str">
        <f>Data!C31</f>
        <v>TravelTech</v>
      </c>
      <c r="D31" s="16">
        <f>AVERAGE(Data!L31:Q31)</f>
        <v>4.5</v>
      </c>
      <c r="E31" s="16">
        <f>ROUND((0.4*Data!T31+0.35*(10-Data!R31)+0.25*D31),1)</f>
        <v>4.5</v>
      </c>
      <c r="F31" s="16">
        <f>ROUND((0.4*Data!T31+0.35*E31+0.25*MIN(10,Data!G31/65)),1)</f>
        <v>4.5999999999999996</v>
      </c>
      <c r="G31" s="16">
        <f>ROUND(AVERAGE(Data!M31,Data!N31,Data!O31),1)</f>
        <v>5.7</v>
      </c>
      <c r="H31">
        <f t="shared" si="0"/>
        <v>4.6003099999999995</v>
      </c>
    </row>
    <row r="32" spans="1:8" ht="15" customHeight="1" x14ac:dyDescent="0.3">
      <c r="A32" s="16" t="str">
        <f>Data!A32</f>
        <v>ST031</v>
      </c>
      <c r="B32" s="16" t="str">
        <f>Data!B32</f>
        <v>MartRoot 56</v>
      </c>
      <c r="C32" s="16" t="str">
        <f>Data!C32</f>
        <v>E-commerce</v>
      </c>
      <c r="D32" s="16">
        <f>AVERAGE(Data!L32:Q32)</f>
        <v>5.333333333333333</v>
      </c>
      <c r="E32" s="16">
        <f>ROUND((0.4*Data!T32+0.35*(10-Data!R32)+0.25*D32),1)</f>
        <v>2.9</v>
      </c>
      <c r="F32" s="16">
        <f>ROUND((0.4*Data!T32+0.35*E32+0.25*MIN(10,Data!G32/65)),1)</f>
        <v>3.8</v>
      </c>
      <c r="G32" s="16">
        <f>ROUND(AVERAGE(Data!M32,Data!N32,Data!O32),1)</f>
        <v>5.7</v>
      </c>
      <c r="H32">
        <f t="shared" si="0"/>
        <v>3.8003199999999997</v>
      </c>
    </row>
    <row r="33" spans="1:8" ht="15" customHeight="1" x14ac:dyDescent="0.3">
      <c r="A33" s="16" t="str">
        <f>Data!A33</f>
        <v>ST032</v>
      </c>
      <c r="B33" s="16" t="str">
        <f>Data!B33</f>
        <v>LawLoop Technologies</v>
      </c>
      <c r="C33" s="16" t="str">
        <f>Data!C33</f>
        <v>LegalTech</v>
      </c>
      <c r="D33" s="16">
        <f>AVERAGE(Data!L33:Q33)</f>
        <v>4.5</v>
      </c>
      <c r="E33" s="16">
        <f>ROUND((0.4*Data!T33+0.35*(10-Data!R33)+0.25*D33),1)</f>
        <v>5.6</v>
      </c>
      <c r="F33" s="16">
        <f>ROUND((0.4*Data!T33+0.35*E33+0.25*MIN(10,Data!G33/65)),1)</f>
        <v>4.4000000000000004</v>
      </c>
      <c r="G33" s="16">
        <f>ROUND(AVERAGE(Data!M33,Data!N33,Data!O33),1)</f>
        <v>4.7</v>
      </c>
      <c r="H33">
        <f t="shared" si="0"/>
        <v>4.4003300000000003</v>
      </c>
    </row>
    <row r="34" spans="1:8" ht="15" customHeight="1" x14ac:dyDescent="0.3">
      <c r="A34" s="16" t="str">
        <f>Data!A34</f>
        <v>ST033</v>
      </c>
      <c r="B34" s="16" t="str">
        <f>Data!B34</f>
        <v>QuestNest</v>
      </c>
      <c r="C34" s="16" t="str">
        <f>Data!C34</f>
        <v>Gaming &amp; Esports</v>
      </c>
      <c r="D34" s="16">
        <f>AVERAGE(Data!L34:Q34)</f>
        <v>5</v>
      </c>
      <c r="E34" s="16">
        <f>ROUND((0.4*Data!T34+0.35*(10-Data!R34)+0.25*D34),1)</f>
        <v>4.7</v>
      </c>
      <c r="F34" s="16">
        <f>ROUND((0.4*Data!T34+0.35*E34+0.25*MIN(10,Data!G34/65)),1)</f>
        <v>3.8</v>
      </c>
      <c r="G34" s="16">
        <f>ROUND(AVERAGE(Data!M34,Data!N34,Data!O34),1)</f>
        <v>6.7</v>
      </c>
      <c r="H34">
        <f t="shared" ref="H34:H65" si="1">F34+ROW()/100000</f>
        <v>3.8003399999999998</v>
      </c>
    </row>
    <row r="35" spans="1:8" ht="15" customHeight="1" x14ac:dyDescent="0.3">
      <c r="A35" s="16" t="str">
        <f>Data!A35</f>
        <v>ST034</v>
      </c>
      <c r="B35" s="16" t="str">
        <f>Data!B35</f>
        <v>WattRoute Networks</v>
      </c>
      <c r="C35" s="16" t="str">
        <f>Data!C35</f>
        <v>CleanTech/EV</v>
      </c>
      <c r="D35" s="16">
        <f>AVERAGE(Data!L35:Q35)</f>
        <v>6.833333333333333</v>
      </c>
      <c r="E35" s="16">
        <f>ROUND((0.4*Data!T35+0.35*(10-Data!R35)+0.25*D35),1)</f>
        <v>4.4000000000000004</v>
      </c>
      <c r="F35" s="16">
        <f>ROUND((0.4*Data!T35+0.35*E35+0.25*MIN(10,Data!G35/65)),1)</f>
        <v>4.5</v>
      </c>
      <c r="G35" s="16">
        <f>ROUND(AVERAGE(Data!M35,Data!N35,Data!O35),1)</f>
        <v>6</v>
      </c>
      <c r="H35">
        <f t="shared" si="1"/>
        <v>4.5003500000000001</v>
      </c>
    </row>
    <row r="36" spans="1:8" ht="15" customHeight="1" x14ac:dyDescent="0.3">
      <c r="A36" s="16" t="str">
        <f>Data!A36</f>
        <v>ST035</v>
      </c>
      <c r="B36" s="16" t="str">
        <f>Data!B36</f>
        <v>TalentNova Labs</v>
      </c>
      <c r="C36" s="16" t="str">
        <f>Data!C36</f>
        <v>HR Tech</v>
      </c>
      <c r="D36" s="16">
        <f>AVERAGE(Data!L36:Q36)</f>
        <v>4</v>
      </c>
      <c r="E36" s="16">
        <f>ROUND((0.4*Data!T36+0.35*(10-Data!R36)+0.25*D36),1)</f>
        <v>3.3</v>
      </c>
      <c r="F36" s="16">
        <f>ROUND((0.4*Data!T36+0.35*E36+0.25*MIN(10,Data!G36/65)),1)</f>
        <v>2.8</v>
      </c>
      <c r="G36" s="16">
        <f>ROUND(AVERAGE(Data!M36,Data!N36,Data!O36),1)</f>
        <v>5.3</v>
      </c>
      <c r="H36">
        <f t="shared" si="1"/>
        <v>2.80036</v>
      </c>
    </row>
    <row r="37" spans="1:8" ht="15" customHeight="1" x14ac:dyDescent="0.3">
      <c r="A37" s="16" t="str">
        <f>Data!A37</f>
        <v>ST036</v>
      </c>
      <c r="B37" s="16" t="str">
        <f>Data!B37</f>
        <v>CargoLoop Networks</v>
      </c>
      <c r="C37" s="16" t="str">
        <f>Data!C37</f>
        <v>Logistics &amp; Supply Chain</v>
      </c>
      <c r="D37" s="16">
        <f>AVERAGE(Data!L37:Q37)</f>
        <v>5</v>
      </c>
      <c r="E37" s="16">
        <f>ROUND((0.4*Data!T37+0.35*(10-Data!R37)+0.25*D37),1)</f>
        <v>4.3</v>
      </c>
      <c r="F37" s="16">
        <f>ROUND((0.4*Data!T37+0.35*E37+0.25*MIN(10,Data!G37/65)),1)</f>
        <v>5.4</v>
      </c>
      <c r="G37" s="16">
        <f>ROUND(AVERAGE(Data!M37,Data!N37,Data!O37),1)</f>
        <v>4.3</v>
      </c>
      <c r="H37">
        <f t="shared" si="1"/>
        <v>5.4003700000000006</v>
      </c>
    </row>
    <row r="38" spans="1:8" ht="15" customHeight="1" x14ac:dyDescent="0.3">
      <c r="A38" s="16" t="str">
        <f>Data!A38</f>
        <v>ST037</v>
      </c>
      <c r="B38" s="16" t="str">
        <f>Data!B38</f>
        <v>QuestNest 12</v>
      </c>
      <c r="C38" s="16" t="str">
        <f>Data!C38</f>
        <v>Gaming &amp; Esports</v>
      </c>
      <c r="D38" s="16">
        <f>AVERAGE(Data!L38:Q38)</f>
        <v>4.333333333333333</v>
      </c>
      <c r="E38" s="16">
        <f>ROUND((0.4*Data!T38+0.35*(10-Data!R38)+0.25*D38),1)</f>
        <v>4.2</v>
      </c>
      <c r="F38" s="16">
        <f>ROUND((0.4*Data!T38+0.35*E38+0.25*MIN(10,Data!G38/65)),1)</f>
        <v>5.8</v>
      </c>
      <c r="G38" s="16">
        <f>ROUND(AVERAGE(Data!M38,Data!N38,Data!O38),1)</f>
        <v>6.7</v>
      </c>
      <c r="H38">
        <f t="shared" si="1"/>
        <v>5.8003799999999996</v>
      </c>
    </row>
    <row r="39" spans="1:8" ht="15" customHeight="1" x14ac:dyDescent="0.3">
      <c r="A39" s="16" t="str">
        <f>Data!A39</f>
        <v>ST038</v>
      </c>
      <c r="B39" s="16" t="str">
        <f>Data!B39</f>
        <v>FreightRoot Solutions</v>
      </c>
      <c r="C39" s="16" t="str">
        <f>Data!C39</f>
        <v>Logistics &amp; Supply Chain</v>
      </c>
      <c r="D39" s="16">
        <f>AVERAGE(Data!L39:Q39)</f>
        <v>4.833333333333333</v>
      </c>
      <c r="E39" s="16">
        <f>ROUND((0.4*Data!T39+0.35*(10-Data!R39)+0.25*D39),1)</f>
        <v>3.9</v>
      </c>
      <c r="F39" s="16">
        <f>ROUND((0.4*Data!T39+0.35*E39+0.25*MIN(10,Data!G39/65)),1)</f>
        <v>4.5999999999999996</v>
      </c>
      <c r="G39" s="16">
        <f>ROUND(AVERAGE(Data!M39,Data!N39,Data!O39),1)</f>
        <v>5.3</v>
      </c>
      <c r="H39">
        <f t="shared" si="1"/>
        <v>4.60039</v>
      </c>
    </row>
    <row r="40" spans="1:8" ht="15" customHeight="1" x14ac:dyDescent="0.3">
      <c r="A40" s="16" t="str">
        <f>Data!A40</f>
        <v>ST039</v>
      </c>
      <c r="B40" s="16" t="str">
        <f>Data!B40</f>
        <v>GuardMesh Technologies</v>
      </c>
      <c r="C40" s="16" t="str">
        <f>Data!C40</f>
        <v>Cybersecurity</v>
      </c>
      <c r="D40" s="16">
        <f>AVERAGE(Data!L40:Q40)</f>
        <v>5.666666666666667</v>
      </c>
      <c r="E40" s="16">
        <f>ROUND((0.4*Data!T40+0.35*(10-Data!R40)+0.25*D40),1)</f>
        <v>7.1</v>
      </c>
      <c r="F40" s="16">
        <f>ROUND((0.4*Data!T40+0.35*E40+0.25*MIN(10,Data!G40/65)),1)</f>
        <v>8.5</v>
      </c>
      <c r="G40" s="16">
        <f>ROUND(AVERAGE(Data!M40,Data!N40,Data!O40),1)</f>
        <v>6.7</v>
      </c>
      <c r="H40">
        <f t="shared" si="1"/>
        <v>8.5004000000000008</v>
      </c>
    </row>
    <row r="41" spans="1:8" ht="15" customHeight="1" x14ac:dyDescent="0.3">
      <c r="A41" s="16" t="str">
        <f>Data!A41</f>
        <v>ST040</v>
      </c>
      <c r="B41" s="16" t="str">
        <f>Data!B41</f>
        <v>HireRoot Solutions</v>
      </c>
      <c r="C41" s="16" t="str">
        <f>Data!C41</f>
        <v>HR Tech</v>
      </c>
      <c r="D41" s="16">
        <f>AVERAGE(Data!L41:Q41)</f>
        <v>4.166666666666667</v>
      </c>
      <c r="E41" s="16">
        <f>ROUND((0.4*Data!T41+0.35*(10-Data!R41)+0.25*D41),1)</f>
        <v>4.8</v>
      </c>
      <c r="F41" s="16">
        <f>ROUND((0.4*Data!T41+0.35*E41+0.25*MIN(10,Data!G41/65)),1)</f>
        <v>5.8</v>
      </c>
      <c r="G41" s="16">
        <f>ROUND(AVERAGE(Data!M41,Data!N41,Data!O41),1)</f>
        <v>6</v>
      </c>
      <c r="H41">
        <f t="shared" si="1"/>
        <v>5.8004099999999994</v>
      </c>
    </row>
    <row r="42" spans="1:8" ht="15" customHeight="1" x14ac:dyDescent="0.3">
      <c r="A42" s="16" t="str">
        <f>Data!A42</f>
        <v>ST041</v>
      </c>
      <c r="B42" s="16" t="str">
        <f>Data!B42</f>
        <v>CogniRoot</v>
      </c>
      <c r="C42" s="16" t="str">
        <f>Data!C42</f>
        <v>AI/ML</v>
      </c>
      <c r="D42" s="16">
        <f>AVERAGE(Data!L42:Q42)</f>
        <v>5.166666666666667</v>
      </c>
      <c r="E42" s="16">
        <f>ROUND((0.4*Data!T42+0.35*(10-Data!R42)+0.25*D42),1)</f>
        <v>4.3</v>
      </c>
      <c r="F42" s="16">
        <f>ROUND((0.4*Data!T42+0.35*E42+0.25*MIN(10,Data!G42/65)),1)</f>
        <v>4.7</v>
      </c>
      <c r="G42" s="16">
        <f>ROUND(AVERAGE(Data!M42,Data!N42,Data!O42),1)</f>
        <v>6</v>
      </c>
      <c r="H42">
        <f t="shared" si="1"/>
        <v>4.7004200000000003</v>
      </c>
    </row>
    <row r="43" spans="1:8" ht="15" customHeight="1" x14ac:dyDescent="0.3">
      <c r="A43" s="16" t="str">
        <f>Data!A43</f>
        <v>ST042</v>
      </c>
      <c r="B43" s="16" t="str">
        <f>Data!B43</f>
        <v>GreenAcre Solutions</v>
      </c>
      <c r="C43" s="16" t="str">
        <f>Data!C43</f>
        <v>AgriTech</v>
      </c>
      <c r="D43" s="16">
        <f>AVERAGE(Data!L43:Q43)</f>
        <v>6.166666666666667</v>
      </c>
      <c r="E43" s="16">
        <f>ROUND((0.4*Data!T43+0.35*(10-Data!R43)+0.25*D43),1)</f>
        <v>6.1</v>
      </c>
      <c r="F43" s="16">
        <f>ROUND((0.4*Data!T43+0.35*E43+0.25*MIN(10,Data!G43/65)),1)</f>
        <v>7</v>
      </c>
      <c r="G43" s="16">
        <f>ROUND(AVERAGE(Data!M43,Data!N43,Data!O43),1)</f>
        <v>6.3</v>
      </c>
      <c r="H43">
        <f t="shared" si="1"/>
        <v>7.0004299999999997</v>
      </c>
    </row>
    <row r="44" spans="1:8" ht="15" customHeight="1" x14ac:dyDescent="0.3">
      <c r="A44" s="16" t="str">
        <f>Data!A44</f>
        <v>ST043</v>
      </c>
      <c r="B44" s="16" t="str">
        <f>Data!B44</f>
        <v>WealthBee Networks</v>
      </c>
      <c r="C44" s="16" t="str">
        <f>Data!C44</f>
        <v>FinTech</v>
      </c>
      <c r="D44" s="16">
        <f>AVERAGE(Data!L44:Q44)</f>
        <v>7.166666666666667</v>
      </c>
      <c r="E44" s="16">
        <f>ROUND((0.4*Data!T44+0.35*(10-Data!R44)+0.25*D44),1)</f>
        <v>5.7</v>
      </c>
      <c r="F44" s="16">
        <f>ROUND((0.4*Data!T44+0.35*E44+0.25*MIN(10,Data!G44/65)),1)</f>
        <v>7.1</v>
      </c>
      <c r="G44" s="16">
        <f>ROUND(AVERAGE(Data!M44,Data!N44,Data!O44),1)</f>
        <v>7.3</v>
      </c>
      <c r="H44">
        <f t="shared" si="1"/>
        <v>7.1004399999999999</v>
      </c>
    </row>
    <row r="45" spans="1:8" ht="15" customHeight="1" x14ac:dyDescent="0.3">
      <c r="A45" s="16" t="str">
        <f>Data!A45</f>
        <v>ST044</v>
      </c>
      <c r="B45" s="16" t="str">
        <f>Data!B45</f>
        <v>SafeNest Technologies</v>
      </c>
      <c r="C45" s="16" t="str">
        <f>Data!C45</f>
        <v>InsurTech</v>
      </c>
      <c r="D45" s="16">
        <f>AVERAGE(Data!L45:Q45)</f>
        <v>6</v>
      </c>
      <c r="E45" s="16">
        <f>ROUND((0.4*Data!T45+0.35*(10-Data!R45)+0.25*D45),1)</f>
        <v>5.7</v>
      </c>
      <c r="F45" s="16">
        <f>ROUND((0.4*Data!T45+0.35*E45+0.25*MIN(10,Data!G45/65)),1)</f>
        <v>5.8</v>
      </c>
      <c r="G45" s="16">
        <f>ROUND(AVERAGE(Data!M45,Data!N45,Data!O45),1)</f>
        <v>6.3</v>
      </c>
      <c r="H45">
        <f t="shared" si="1"/>
        <v>5.8004499999999997</v>
      </c>
    </row>
    <row r="46" spans="1:8" ht="15" customHeight="1" x14ac:dyDescent="0.3">
      <c r="A46" s="16" t="str">
        <f>Data!A46</f>
        <v>ST045</v>
      </c>
      <c r="B46" s="16" t="str">
        <f>Data!B46</f>
        <v>FoodLoop</v>
      </c>
      <c r="C46" s="16" t="str">
        <f>Data!C46</f>
        <v>FoodTech</v>
      </c>
      <c r="D46" s="16">
        <f>AVERAGE(Data!L46:Q46)</f>
        <v>5.333333333333333</v>
      </c>
      <c r="E46" s="16">
        <f>ROUND((0.4*Data!T46+0.35*(10-Data!R46)+0.25*D46),1)</f>
        <v>4</v>
      </c>
      <c r="F46" s="16">
        <f>ROUND((0.4*Data!T46+0.35*E46+0.25*MIN(10,Data!G46/65)),1)</f>
        <v>5.7</v>
      </c>
      <c r="G46" s="16">
        <f>ROUND(AVERAGE(Data!M46,Data!N46,Data!O46),1)</f>
        <v>5</v>
      </c>
      <c r="H46">
        <f t="shared" si="1"/>
        <v>5.7004600000000005</v>
      </c>
    </row>
    <row r="47" spans="1:8" ht="15" customHeight="1" x14ac:dyDescent="0.3">
      <c r="A47" s="16" t="str">
        <f>Data!A47</f>
        <v>ST046</v>
      </c>
      <c r="B47" s="16" t="str">
        <f>Data!B47</f>
        <v>VoyageLoop 49</v>
      </c>
      <c r="C47" s="16" t="str">
        <f>Data!C47</f>
        <v>TravelTech</v>
      </c>
      <c r="D47" s="16">
        <f>AVERAGE(Data!L47:Q47)</f>
        <v>4.833333333333333</v>
      </c>
      <c r="E47" s="16">
        <f>ROUND((0.4*Data!T47+0.35*(10-Data!R47)+0.25*D47),1)</f>
        <v>3.9</v>
      </c>
      <c r="F47" s="16">
        <f>ROUND((0.4*Data!T47+0.35*E47+0.25*MIN(10,Data!G47/65)),1)</f>
        <v>4</v>
      </c>
      <c r="G47" s="16">
        <f>ROUND(AVERAGE(Data!M47,Data!N47,Data!O47),1)</f>
        <v>5</v>
      </c>
      <c r="H47">
        <f t="shared" si="1"/>
        <v>4.00047</v>
      </c>
    </row>
    <row r="48" spans="1:8" ht="15" customHeight="1" x14ac:dyDescent="0.3">
      <c r="A48" s="16" t="str">
        <f>Data!A48</f>
        <v>ST047</v>
      </c>
      <c r="B48" s="16" t="str">
        <f>Data!B48</f>
        <v>PrepWise</v>
      </c>
      <c r="C48" s="16" t="str">
        <f>Data!C48</f>
        <v>EdTech</v>
      </c>
      <c r="D48" s="16">
        <f>AVERAGE(Data!L48:Q48)</f>
        <v>5.166666666666667</v>
      </c>
      <c r="E48" s="16">
        <f>ROUND((0.4*Data!T48+0.35*(10-Data!R48)+0.25*D48),1)</f>
        <v>3.2</v>
      </c>
      <c r="F48" s="16">
        <f>ROUND((0.4*Data!T48+0.35*E48+0.25*MIN(10,Data!G48/65)),1)</f>
        <v>3.1</v>
      </c>
      <c r="G48" s="16">
        <f>ROUND(AVERAGE(Data!M48,Data!N48,Data!O48),1)</f>
        <v>6.3</v>
      </c>
      <c r="H48">
        <f t="shared" si="1"/>
        <v>3.1004800000000001</v>
      </c>
    </row>
    <row r="49" spans="1:8" ht="15" customHeight="1" x14ac:dyDescent="0.3">
      <c r="A49" s="16" t="str">
        <f>Data!A49</f>
        <v>ST048</v>
      </c>
      <c r="B49" s="16" t="str">
        <f>Data!B49</f>
        <v>GameLoop Solutions</v>
      </c>
      <c r="C49" s="16" t="str">
        <f>Data!C49</f>
        <v>Gaming &amp; Esports</v>
      </c>
      <c r="D49" s="16">
        <f>AVERAGE(Data!L49:Q49)</f>
        <v>4.5</v>
      </c>
      <c r="E49" s="16">
        <f>ROUND((0.4*Data!T49+0.35*(10-Data!R49)+0.25*D49),1)</f>
        <v>5</v>
      </c>
      <c r="F49" s="16">
        <f>ROUND((0.4*Data!T49+0.35*E49+0.25*MIN(10,Data!G49/65)),1)</f>
        <v>6.6</v>
      </c>
      <c r="G49" s="16">
        <f>ROUND(AVERAGE(Data!M49,Data!N49,Data!O49),1)</f>
        <v>7</v>
      </c>
      <c r="H49">
        <f t="shared" si="1"/>
        <v>6.6004899999999997</v>
      </c>
    </row>
    <row r="50" spans="1:8" ht="15" customHeight="1" x14ac:dyDescent="0.3">
      <c r="A50" s="16" t="str">
        <f>Data!A50</f>
        <v>ST049</v>
      </c>
      <c r="B50" s="16" t="str">
        <f>Data!B50</f>
        <v>BrightPath</v>
      </c>
      <c r="C50" s="16" t="str">
        <f>Data!C50</f>
        <v>EdTech</v>
      </c>
      <c r="D50" s="16">
        <f>AVERAGE(Data!L50:Q50)</f>
        <v>6.5</v>
      </c>
      <c r="E50" s="16">
        <f>ROUND((0.4*Data!T50+0.35*(10-Data!R50)+0.25*D50),1)</f>
        <v>5.9</v>
      </c>
      <c r="F50" s="16">
        <f>ROUND((0.4*Data!T50+0.35*E50+0.25*MIN(10,Data!G50/65)),1)</f>
        <v>7</v>
      </c>
      <c r="G50" s="16">
        <f>ROUND(AVERAGE(Data!M50,Data!N50,Data!O50),1)</f>
        <v>7.3</v>
      </c>
      <c r="H50">
        <f t="shared" si="1"/>
        <v>7.0004999999999997</v>
      </c>
    </row>
    <row r="51" spans="1:8" ht="15" customHeight="1" x14ac:dyDescent="0.3">
      <c r="A51" s="16" t="str">
        <f>Data!A51</f>
        <v>ST050</v>
      </c>
      <c r="B51" s="16" t="str">
        <f>Data!B51</f>
        <v>VoyageLoop 97</v>
      </c>
      <c r="C51" s="16" t="str">
        <f>Data!C51</f>
        <v>TravelTech</v>
      </c>
      <c r="D51" s="16">
        <f>AVERAGE(Data!L51:Q51)</f>
        <v>5</v>
      </c>
      <c r="E51" s="16">
        <f>ROUND((0.4*Data!T51+0.35*(10-Data!R51)+0.25*D51),1)</f>
        <v>3.6</v>
      </c>
      <c r="F51" s="16">
        <f>ROUND((0.4*Data!T51+0.35*E51+0.25*MIN(10,Data!G51/65)),1)</f>
        <v>5.2</v>
      </c>
      <c r="G51" s="16">
        <f>ROUND(AVERAGE(Data!M51,Data!N51,Data!O51),1)</f>
        <v>5</v>
      </c>
      <c r="H51">
        <f t="shared" si="1"/>
        <v>5.2005100000000004</v>
      </c>
    </row>
    <row r="52" spans="1:8" ht="15" customHeight="1" x14ac:dyDescent="0.3">
      <c r="A52" s="16" t="str">
        <f>Data!A52</f>
        <v>ST051</v>
      </c>
      <c r="B52" s="16" t="str">
        <f>Data!B52</f>
        <v>SkillRoot Technologies</v>
      </c>
      <c r="C52" s="16" t="str">
        <f>Data!C52</f>
        <v>EdTech</v>
      </c>
      <c r="D52" s="16">
        <f>AVERAGE(Data!L52:Q52)</f>
        <v>5.833333333333333</v>
      </c>
      <c r="E52" s="16">
        <f>ROUND((0.4*Data!T52+0.35*(10-Data!R52)+0.25*D52),1)</f>
        <v>5</v>
      </c>
      <c r="F52" s="16">
        <f>ROUND((0.4*Data!T52+0.35*E52+0.25*MIN(10,Data!G52/65)),1)</f>
        <v>6.4</v>
      </c>
      <c r="G52" s="16">
        <f>ROUND(AVERAGE(Data!M52,Data!N52,Data!O52),1)</f>
        <v>7</v>
      </c>
      <c r="H52">
        <f t="shared" si="1"/>
        <v>6.4005200000000002</v>
      </c>
    </row>
    <row r="53" spans="1:8" ht="15" customHeight="1" x14ac:dyDescent="0.3">
      <c r="A53" s="16" t="str">
        <f>Data!A53</f>
        <v>ST052</v>
      </c>
      <c r="B53" s="16" t="str">
        <f>Data!B53</f>
        <v>CyberNest Technologies</v>
      </c>
      <c r="C53" s="16" t="str">
        <f>Data!C53</f>
        <v>Cybersecurity</v>
      </c>
      <c r="D53" s="16">
        <f>AVERAGE(Data!L53:Q53)</f>
        <v>5.5</v>
      </c>
      <c r="E53" s="16">
        <f>ROUND((0.4*Data!T53+0.35*(10-Data!R53)+0.25*D53),1)</f>
        <v>5.9</v>
      </c>
      <c r="F53" s="16">
        <f>ROUND((0.4*Data!T53+0.35*E53+0.25*MIN(10,Data!G53/65)),1)</f>
        <v>6.7</v>
      </c>
      <c r="G53" s="16">
        <f>ROUND(AVERAGE(Data!M53,Data!N53,Data!O53),1)</f>
        <v>5.3</v>
      </c>
      <c r="H53">
        <f t="shared" si="1"/>
        <v>6.7005300000000005</v>
      </c>
    </row>
    <row r="54" spans="1:8" ht="15" customHeight="1" x14ac:dyDescent="0.3">
      <c r="A54" s="16" t="str">
        <f>Data!A54</f>
        <v>ST053</v>
      </c>
      <c r="B54" s="16" t="str">
        <f>Data!B54</f>
        <v>AgroVerve</v>
      </c>
      <c r="C54" s="16" t="str">
        <f>Data!C54</f>
        <v>AgriTech</v>
      </c>
      <c r="D54" s="16">
        <f>AVERAGE(Data!L54:Q54)</f>
        <v>7</v>
      </c>
      <c r="E54" s="16">
        <f>ROUND((0.4*Data!T54+0.35*(10-Data!R54)+0.25*D54),1)</f>
        <v>5.9</v>
      </c>
      <c r="F54" s="16">
        <f>ROUND((0.4*Data!T54+0.35*E54+0.25*MIN(10,Data!G54/65)),1)</f>
        <v>5.4</v>
      </c>
      <c r="G54" s="16">
        <f>ROUND(AVERAGE(Data!M54,Data!N54,Data!O54),1)</f>
        <v>6</v>
      </c>
      <c r="H54">
        <f t="shared" si="1"/>
        <v>5.4005400000000003</v>
      </c>
    </row>
    <row r="55" spans="1:8" ht="15" customHeight="1" x14ac:dyDescent="0.3">
      <c r="A55" s="16" t="str">
        <f>Data!A55</f>
        <v>ST054</v>
      </c>
      <c r="B55" s="16" t="str">
        <f>Data!B55</f>
        <v>CargoLoop</v>
      </c>
      <c r="C55" s="16" t="str">
        <f>Data!C55</f>
        <v>Logistics &amp; Supply Chain</v>
      </c>
      <c r="D55" s="16">
        <f>AVERAGE(Data!L55:Q55)</f>
        <v>5.5</v>
      </c>
      <c r="E55" s="16">
        <f>ROUND((0.4*Data!T55+0.35*(10-Data!R55)+0.25*D55),1)</f>
        <v>5.0999999999999996</v>
      </c>
      <c r="F55" s="16">
        <f>ROUND((0.4*Data!T55+0.35*E55+0.25*MIN(10,Data!G55/65)),1)</f>
        <v>4.0999999999999996</v>
      </c>
      <c r="G55" s="16">
        <f>ROUND(AVERAGE(Data!M55,Data!N55,Data!O55),1)</f>
        <v>6</v>
      </c>
      <c r="H55">
        <f t="shared" si="1"/>
        <v>4.1005499999999993</v>
      </c>
    </row>
    <row r="56" spans="1:8" ht="15" customHeight="1" x14ac:dyDescent="0.3">
      <c r="A56" s="16" t="str">
        <f>Data!A56</f>
        <v>ST055</v>
      </c>
      <c r="B56" s="16" t="str">
        <f>Data!B56</f>
        <v>GreenAcre</v>
      </c>
      <c r="C56" s="16" t="str">
        <f>Data!C56</f>
        <v>AgriTech</v>
      </c>
      <c r="D56" s="16">
        <f>AVERAGE(Data!L56:Q56)</f>
        <v>5.666666666666667</v>
      </c>
      <c r="E56" s="16">
        <f>ROUND((0.4*Data!T56+0.35*(10-Data!R56)+0.25*D56),1)</f>
        <v>5.0999999999999996</v>
      </c>
      <c r="F56" s="16">
        <f>ROUND((0.4*Data!T56+0.35*E56+0.25*MIN(10,Data!G56/65)),1)</f>
        <v>3.3</v>
      </c>
      <c r="G56" s="16">
        <f>ROUND(AVERAGE(Data!M56,Data!N56,Data!O56),1)</f>
        <v>5</v>
      </c>
      <c r="H56">
        <f t="shared" si="1"/>
        <v>3.3005599999999999</v>
      </c>
    </row>
    <row r="57" spans="1:8" ht="15" customHeight="1" x14ac:dyDescent="0.3">
      <c r="A57" s="16" t="str">
        <f>Data!A57</f>
        <v>ST056</v>
      </c>
      <c r="B57" s="16" t="str">
        <f>Data!B57</f>
        <v>ShieldRoot 24</v>
      </c>
      <c r="C57" s="16" t="str">
        <f>Data!C57</f>
        <v>Cybersecurity</v>
      </c>
      <c r="D57" s="16">
        <f>AVERAGE(Data!L57:Q57)</f>
        <v>4.666666666666667</v>
      </c>
      <c r="E57" s="16">
        <f>ROUND((0.4*Data!T57+0.35*(10-Data!R57)+0.25*D57),1)</f>
        <v>5.2</v>
      </c>
      <c r="F57" s="16">
        <f>ROUND((0.4*Data!T57+0.35*E57+0.25*MIN(10,Data!G57/65)),1)</f>
        <v>4.3</v>
      </c>
      <c r="G57" s="16">
        <f>ROUND(AVERAGE(Data!M57,Data!N57,Data!O57),1)</f>
        <v>4.7</v>
      </c>
      <c r="H57">
        <f t="shared" si="1"/>
        <v>4.3005699999999996</v>
      </c>
    </row>
    <row r="58" spans="1:8" ht="15" customHeight="1" x14ac:dyDescent="0.3">
      <c r="A58" s="16" t="str">
        <f>Data!A58</f>
        <v>ST057</v>
      </c>
      <c r="B58" s="16" t="str">
        <f>Data!B58</f>
        <v>GreenCharge</v>
      </c>
      <c r="C58" s="16" t="str">
        <f>Data!C58</f>
        <v>CleanTech/EV</v>
      </c>
      <c r="D58" s="16">
        <f>AVERAGE(Data!L58:Q58)</f>
        <v>7.333333333333333</v>
      </c>
      <c r="E58" s="16">
        <f>ROUND((0.4*Data!T58+0.35*(10-Data!R58)+0.25*D58),1)</f>
        <v>5.6</v>
      </c>
      <c r="F58" s="16">
        <f>ROUND((0.4*Data!T58+0.35*E58+0.25*MIN(10,Data!G58/65)),1)</f>
        <v>6.6</v>
      </c>
      <c r="G58" s="16">
        <f>ROUND(AVERAGE(Data!M58,Data!N58,Data!O58),1)</f>
        <v>5.7</v>
      </c>
      <c r="H58">
        <f t="shared" si="1"/>
        <v>6.6005799999999999</v>
      </c>
    </row>
    <row r="59" spans="1:8" ht="15" customHeight="1" x14ac:dyDescent="0.3">
      <c r="A59" s="16" t="str">
        <f>Data!A59</f>
        <v>ST058</v>
      </c>
      <c r="B59" s="16" t="str">
        <f>Data!B59</f>
        <v>RouteSense Labs</v>
      </c>
      <c r="C59" s="16" t="str">
        <f>Data!C59</f>
        <v>Logistics &amp; Supply Chain</v>
      </c>
      <c r="D59" s="16">
        <f>AVERAGE(Data!L59:Q59)</f>
        <v>5.5</v>
      </c>
      <c r="E59" s="16">
        <f>ROUND((0.4*Data!T59+0.35*(10-Data!R59)+0.25*D59),1)</f>
        <v>5.9</v>
      </c>
      <c r="F59" s="16">
        <f>ROUND((0.4*Data!T59+0.35*E59+0.25*MIN(10,Data!G59/65)),1)</f>
        <v>6.5</v>
      </c>
      <c r="G59" s="16">
        <f>ROUND(AVERAGE(Data!M59,Data!N59,Data!O59),1)</f>
        <v>6</v>
      </c>
      <c r="H59">
        <f t="shared" si="1"/>
        <v>6.5005899999999999</v>
      </c>
    </row>
    <row r="60" spans="1:8" ht="15" customHeight="1" x14ac:dyDescent="0.3">
      <c r="A60" s="16" t="str">
        <f>Data!A60</f>
        <v>ST059</v>
      </c>
      <c r="B60" s="16" t="str">
        <f>Data!B60</f>
        <v>WellRoot</v>
      </c>
      <c r="C60" s="16" t="str">
        <f>Data!C60</f>
        <v>HealthTech</v>
      </c>
      <c r="D60" s="16">
        <f>AVERAGE(Data!L60:Q60)</f>
        <v>6</v>
      </c>
      <c r="E60" s="16">
        <f>ROUND((0.4*Data!T60+0.35*(10-Data!R60)+0.25*D60),1)</f>
        <v>4.5999999999999996</v>
      </c>
      <c r="F60" s="16">
        <f>ROUND((0.4*Data!T60+0.35*E60+0.25*MIN(10,Data!G60/65)),1)</f>
        <v>5.0999999999999996</v>
      </c>
      <c r="G60" s="16">
        <f>ROUND(AVERAGE(Data!M60,Data!N60,Data!O60),1)</f>
        <v>6.3</v>
      </c>
      <c r="H60">
        <f t="shared" si="1"/>
        <v>5.1006</v>
      </c>
    </row>
    <row r="61" spans="1:8" ht="15" customHeight="1" x14ac:dyDescent="0.3">
      <c r="A61" s="16" t="str">
        <f>Data!A61</f>
        <v>ST060</v>
      </c>
      <c r="B61" s="16" t="str">
        <f>Data!B61</f>
        <v>QuestNest Technologies</v>
      </c>
      <c r="C61" s="16" t="str">
        <f>Data!C61</f>
        <v>Gaming &amp; Esports</v>
      </c>
      <c r="D61" s="16">
        <f>AVERAGE(Data!L61:Q61)</f>
        <v>4.333333333333333</v>
      </c>
      <c r="E61" s="16">
        <f>ROUND((0.4*Data!T61+0.35*(10-Data!R61)+0.25*D61),1)</f>
        <v>3</v>
      </c>
      <c r="F61" s="16">
        <f>ROUND((0.4*Data!T61+0.35*E61+0.25*MIN(10,Data!G61/65)),1)</f>
        <v>4.0999999999999996</v>
      </c>
      <c r="G61" s="16">
        <f>ROUND(AVERAGE(Data!M61,Data!N61,Data!O61),1)</f>
        <v>5</v>
      </c>
      <c r="H61">
        <f t="shared" si="1"/>
        <v>4.1006099999999996</v>
      </c>
    </row>
    <row r="62" spans="1:8" ht="15" customHeight="1" x14ac:dyDescent="0.3">
      <c r="A62" s="16" t="str">
        <f>Data!A62</f>
        <v>ST061</v>
      </c>
      <c r="B62" s="16" t="str">
        <f>Data!B62</f>
        <v>MartRoot 21</v>
      </c>
      <c r="C62" s="16" t="str">
        <f>Data!C62</f>
        <v>E-commerce</v>
      </c>
      <c r="D62" s="16">
        <f>AVERAGE(Data!L62:Q62)</f>
        <v>4.5</v>
      </c>
      <c r="E62" s="16">
        <f>ROUND((0.4*Data!T62+0.35*(10-Data!R62)+0.25*D62),1)</f>
        <v>2.2999999999999998</v>
      </c>
      <c r="F62" s="16">
        <f>ROUND((0.4*Data!T62+0.35*E62+0.25*MIN(10,Data!G62/65)),1)</f>
        <v>2.9</v>
      </c>
      <c r="G62" s="16">
        <f>ROUND(AVERAGE(Data!M62,Data!N62,Data!O62),1)</f>
        <v>4.7</v>
      </c>
      <c r="H62">
        <f t="shared" si="1"/>
        <v>2.90062</v>
      </c>
    </row>
    <row r="63" spans="1:8" ht="15" customHeight="1" x14ac:dyDescent="0.3">
      <c r="A63" s="16" t="str">
        <f>Data!A63</f>
        <v>ST062</v>
      </c>
      <c r="B63" s="16" t="str">
        <f>Data!B63</f>
        <v>PolicyLoop 25</v>
      </c>
      <c r="C63" s="16" t="str">
        <f>Data!C63</f>
        <v>InsurTech</v>
      </c>
      <c r="D63" s="16">
        <f>AVERAGE(Data!L63:Q63)</f>
        <v>5.666666666666667</v>
      </c>
      <c r="E63" s="16">
        <f>ROUND((0.4*Data!T63+0.35*(10-Data!R63)+0.25*D63),1)</f>
        <v>5.9</v>
      </c>
      <c r="F63" s="16">
        <f>ROUND((0.4*Data!T63+0.35*E63+0.25*MIN(10,Data!G63/65)),1)</f>
        <v>5</v>
      </c>
      <c r="G63" s="16">
        <f>ROUND(AVERAGE(Data!M63,Data!N63,Data!O63),1)</f>
        <v>5.3</v>
      </c>
      <c r="H63">
        <f t="shared" si="1"/>
        <v>5.0006300000000001</v>
      </c>
    </row>
    <row r="64" spans="1:8" ht="15" customHeight="1" x14ac:dyDescent="0.3">
      <c r="A64" s="16" t="str">
        <f>Data!A64</f>
        <v>ST063</v>
      </c>
      <c r="B64" s="16" t="str">
        <f>Data!B64</f>
        <v>WorkforceLoop</v>
      </c>
      <c r="C64" s="16" t="str">
        <f>Data!C64</f>
        <v>HR Tech</v>
      </c>
      <c r="D64" s="16">
        <f>AVERAGE(Data!L64:Q64)</f>
        <v>3.8333333333333335</v>
      </c>
      <c r="E64" s="16">
        <f>ROUND((0.4*Data!T64+0.35*(10-Data!R64)+0.25*D64),1)</f>
        <v>4.7</v>
      </c>
      <c r="F64" s="16">
        <f>ROUND((0.4*Data!T64+0.35*E64+0.25*MIN(10,Data!G64/65)),1)</f>
        <v>5.5</v>
      </c>
      <c r="G64" s="16">
        <f>ROUND(AVERAGE(Data!M64,Data!N64,Data!O64),1)</f>
        <v>5</v>
      </c>
      <c r="H64">
        <f t="shared" si="1"/>
        <v>5.5006399999999998</v>
      </c>
    </row>
    <row r="65" spans="1:8" ht="15" customHeight="1" x14ac:dyDescent="0.3">
      <c r="A65" s="16" t="str">
        <f>Data!A65</f>
        <v>ST064</v>
      </c>
      <c r="B65" s="16" t="str">
        <f>Data!B65</f>
        <v>MartRoot 69</v>
      </c>
      <c r="C65" s="16" t="str">
        <f>Data!C65</f>
        <v>E-commerce</v>
      </c>
      <c r="D65" s="16">
        <f>AVERAGE(Data!L65:Q65)</f>
        <v>5.166666666666667</v>
      </c>
      <c r="E65" s="16">
        <f>ROUND((0.4*Data!T65+0.35*(10-Data!R65)+0.25*D65),1)</f>
        <v>5.5</v>
      </c>
      <c r="F65" s="16">
        <f>ROUND((0.4*Data!T65+0.35*E65+0.25*MIN(10,Data!G65/65)),1)</f>
        <v>7.6</v>
      </c>
      <c r="G65" s="16">
        <f>ROUND(AVERAGE(Data!M65,Data!N65,Data!O65),1)</f>
        <v>6.7</v>
      </c>
      <c r="H65">
        <f t="shared" si="1"/>
        <v>7.6006499999999999</v>
      </c>
    </row>
    <row r="66" spans="1:8" ht="15" customHeight="1" x14ac:dyDescent="0.3">
      <c r="A66" s="16" t="str">
        <f>Data!A66</f>
        <v>ST065</v>
      </c>
      <c r="B66" s="16" t="str">
        <f>Data!B66</f>
        <v>VitalEdge</v>
      </c>
      <c r="C66" s="16" t="str">
        <f>Data!C66</f>
        <v>HealthTech</v>
      </c>
      <c r="D66" s="16">
        <f>AVERAGE(Data!L66:Q66)</f>
        <v>6.5</v>
      </c>
      <c r="E66" s="16">
        <f>ROUND((0.4*Data!T66+0.35*(10-Data!R66)+0.25*D66),1)</f>
        <v>5.4</v>
      </c>
      <c r="F66" s="16">
        <f>ROUND((0.4*Data!T66+0.35*E66+0.25*MIN(10,Data!G66/65)),1)</f>
        <v>4.4000000000000004</v>
      </c>
      <c r="G66" s="16">
        <f>ROUND(AVERAGE(Data!M66,Data!N66,Data!O66),1)</f>
        <v>7.3</v>
      </c>
      <c r="H66">
        <f t="shared" ref="H66:H101" si="2">F66+ROW()/100000</f>
        <v>4.4006600000000002</v>
      </c>
    </row>
    <row r="67" spans="1:8" ht="15" customHeight="1" x14ac:dyDescent="0.3">
      <c r="A67" s="16" t="str">
        <f>Data!A67</f>
        <v>ST066</v>
      </c>
      <c r="B67" s="16" t="str">
        <f>Data!B67</f>
        <v>CloudNest</v>
      </c>
      <c r="C67" s="16" t="str">
        <f>Data!C67</f>
        <v>SaaS / Enterprise Software</v>
      </c>
      <c r="D67" s="16">
        <f>AVERAGE(Data!L67:Q67)</f>
        <v>4</v>
      </c>
      <c r="E67" s="16">
        <f>ROUND((0.4*Data!T67+0.35*(10-Data!R67)+0.25*D67),1)</f>
        <v>4.4000000000000004</v>
      </c>
      <c r="F67" s="16">
        <f>ROUND((0.4*Data!T67+0.35*E67+0.25*MIN(10,Data!G67/65)),1)</f>
        <v>4.2</v>
      </c>
      <c r="G67" s="16">
        <f>ROUND(AVERAGE(Data!M67,Data!N67,Data!O67),1)</f>
        <v>5.7</v>
      </c>
      <c r="H67">
        <f t="shared" si="2"/>
        <v>4.2006700000000006</v>
      </c>
    </row>
    <row r="68" spans="1:8" ht="15" customHeight="1" x14ac:dyDescent="0.3">
      <c r="A68" s="16" t="str">
        <f>Data!A68</f>
        <v>ST067</v>
      </c>
      <c r="B68" s="16" t="str">
        <f>Data!B68</f>
        <v>PlateNova</v>
      </c>
      <c r="C68" s="16" t="str">
        <f>Data!C68</f>
        <v>FoodTech</v>
      </c>
      <c r="D68" s="16">
        <f>AVERAGE(Data!L68:Q68)</f>
        <v>4.833333333333333</v>
      </c>
      <c r="E68" s="16">
        <f>ROUND((0.4*Data!T68+0.35*(10-Data!R68)+0.25*D68),1)</f>
        <v>3.1</v>
      </c>
      <c r="F68" s="16">
        <f>ROUND((0.4*Data!T68+0.35*E68+0.25*MIN(10,Data!G68/65)),1)</f>
        <v>2.9</v>
      </c>
      <c r="G68" s="16">
        <f>ROUND(AVERAGE(Data!M68,Data!N68,Data!O68),1)</f>
        <v>4.7</v>
      </c>
      <c r="H68">
        <f t="shared" si="2"/>
        <v>2.9006799999999999</v>
      </c>
    </row>
    <row r="69" spans="1:8" ht="15" customHeight="1" x14ac:dyDescent="0.3">
      <c r="A69" s="16" t="str">
        <f>Data!A69</f>
        <v>ST068</v>
      </c>
      <c r="B69" s="16" t="str">
        <f>Data!B69</f>
        <v>WellRoot 82</v>
      </c>
      <c r="C69" s="16" t="str">
        <f>Data!C69</f>
        <v>HealthTech</v>
      </c>
      <c r="D69" s="16">
        <f>AVERAGE(Data!L69:Q69)</f>
        <v>6</v>
      </c>
      <c r="E69" s="16">
        <f>ROUND((0.4*Data!T69+0.35*(10-Data!R69)+0.25*D69),1)</f>
        <v>6</v>
      </c>
      <c r="F69" s="16">
        <f>ROUND((0.4*Data!T69+0.35*E69+0.25*MIN(10,Data!G69/65)),1)</f>
        <v>5.7</v>
      </c>
      <c r="G69" s="16">
        <f>ROUND(AVERAGE(Data!M69,Data!N69,Data!O69),1)</f>
        <v>6.3</v>
      </c>
      <c r="H69">
        <f t="shared" si="2"/>
        <v>5.7006899999999998</v>
      </c>
    </row>
    <row r="70" spans="1:8" ht="15" customHeight="1" x14ac:dyDescent="0.3">
      <c r="A70" s="16" t="str">
        <f>Data!A70</f>
        <v>ST069</v>
      </c>
      <c r="B70" s="16" t="str">
        <f>Data!B70</f>
        <v>SpaceMesh</v>
      </c>
      <c r="C70" s="16" t="str">
        <f>Data!C70</f>
        <v>PropTech</v>
      </c>
      <c r="D70" s="16">
        <f>AVERAGE(Data!L70:Q70)</f>
        <v>5.666666666666667</v>
      </c>
      <c r="E70" s="16">
        <f>ROUND((0.4*Data!T70+0.35*(10-Data!R70)+0.25*D70),1)</f>
        <v>5.3</v>
      </c>
      <c r="F70" s="16">
        <f>ROUND((0.4*Data!T70+0.35*E70+0.25*MIN(10,Data!G70/65)),1)</f>
        <v>6.1</v>
      </c>
      <c r="G70" s="16">
        <f>ROUND(AVERAGE(Data!M70,Data!N70,Data!O70),1)</f>
        <v>6.3</v>
      </c>
      <c r="H70">
        <f t="shared" si="2"/>
        <v>6.1006999999999998</v>
      </c>
    </row>
    <row r="71" spans="1:8" ht="15" customHeight="1" x14ac:dyDescent="0.3">
      <c r="A71" s="16" t="str">
        <f>Data!A71</f>
        <v>ST070</v>
      </c>
      <c r="B71" s="16" t="str">
        <f>Data!B71</f>
        <v>DealLoop</v>
      </c>
      <c r="C71" s="16" t="str">
        <f>Data!C71</f>
        <v>E-commerce</v>
      </c>
      <c r="D71" s="16">
        <f>AVERAGE(Data!L71:Q71)</f>
        <v>5.166666666666667</v>
      </c>
      <c r="E71" s="16">
        <f>ROUND((0.4*Data!T71+0.35*(10-Data!R71)+0.25*D71),1)</f>
        <v>4.4000000000000004</v>
      </c>
      <c r="F71" s="16">
        <f>ROUND((0.4*Data!T71+0.35*E71+0.25*MIN(10,Data!G71/65)),1)</f>
        <v>6.2</v>
      </c>
      <c r="G71" s="16">
        <f>ROUND(AVERAGE(Data!M71,Data!N71,Data!O71),1)</f>
        <v>6</v>
      </c>
      <c r="H71">
        <f t="shared" si="2"/>
        <v>6.2007099999999999</v>
      </c>
    </row>
    <row r="72" spans="1:8" ht="15" customHeight="1" x14ac:dyDescent="0.3">
      <c r="A72" s="16" t="str">
        <f>Data!A72</f>
        <v>ST071</v>
      </c>
      <c r="B72" s="16" t="str">
        <f>Data!B72</f>
        <v>ClassNova Labs</v>
      </c>
      <c r="C72" s="16" t="str">
        <f>Data!C72</f>
        <v>EdTech</v>
      </c>
      <c r="D72" s="16">
        <f>AVERAGE(Data!L72:Q72)</f>
        <v>6</v>
      </c>
      <c r="E72" s="16">
        <f>ROUND((0.4*Data!T72+0.35*(10-Data!R72)+0.25*D72),1)</f>
        <v>5</v>
      </c>
      <c r="F72" s="16">
        <f>ROUND((0.4*Data!T72+0.35*E72+0.25*MIN(10,Data!G72/65)),1)</f>
        <v>4.5</v>
      </c>
      <c r="G72" s="16">
        <f>ROUND(AVERAGE(Data!M72,Data!N72,Data!O72),1)</f>
        <v>7.3</v>
      </c>
      <c r="H72">
        <f t="shared" si="2"/>
        <v>4.5007200000000003</v>
      </c>
    </row>
    <row r="73" spans="1:8" ht="15" customHeight="1" x14ac:dyDescent="0.3">
      <c r="A73" s="16" t="str">
        <f>Data!A73</f>
        <v>ST072</v>
      </c>
      <c r="B73" s="16" t="str">
        <f>Data!B73</f>
        <v>SecNova Networks</v>
      </c>
      <c r="C73" s="16" t="str">
        <f>Data!C73</f>
        <v>Cybersecurity</v>
      </c>
      <c r="D73" s="16">
        <f>AVERAGE(Data!L73:Q73)</f>
        <v>4.833333333333333</v>
      </c>
      <c r="E73" s="16">
        <f>ROUND((0.4*Data!T73+0.35*(10-Data!R73)+0.25*D73),1)</f>
        <v>4.5999999999999996</v>
      </c>
      <c r="F73" s="16">
        <f>ROUND((0.4*Data!T73+0.35*E73+0.25*MIN(10,Data!G73/65)),1)</f>
        <v>4.0999999999999996</v>
      </c>
      <c r="G73" s="16">
        <f>ROUND(AVERAGE(Data!M73,Data!N73,Data!O73),1)</f>
        <v>6</v>
      </c>
      <c r="H73">
        <f t="shared" si="2"/>
        <v>4.1007299999999995</v>
      </c>
    </row>
    <row r="74" spans="1:8" ht="15" customHeight="1" x14ac:dyDescent="0.3">
      <c r="A74" s="16" t="str">
        <f>Data!A74</f>
        <v>ST073</v>
      </c>
      <c r="B74" s="16" t="str">
        <f>Data!B74</f>
        <v>WorkNova</v>
      </c>
      <c r="C74" s="16" t="str">
        <f>Data!C74</f>
        <v>SaaS / Enterprise Software</v>
      </c>
      <c r="D74" s="16">
        <f>AVERAGE(Data!L74:Q74)</f>
        <v>4.666666666666667</v>
      </c>
      <c r="E74" s="16">
        <f>ROUND((0.4*Data!T74+0.35*(10-Data!R74)+0.25*D74),1)</f>
        <v>4.7</v>
      </c>
      <c r="F74" s="16">
        <f>ROUND((0.4*Data!T74+0.35*E74+0.25*MIN(10,Data!G74/65)),1)</f>
        <v>4.9000000000000004</v>
      </c>
      <c r="G74" s="16">
        <f>ROUND(AVERAGE(Data!M74,Data!N74,Data!O74),1)</f>
        <v>7</v>
      </c>
      <c r="H74">
        <f t="shared" si="2"/>
        <v>4.9007400000000008</v>
      </c>
    </row>
    <row r="75" spans="1:8" ht="15" customHeight="1" x14ac:dyDescent="0.3">
      <c r="A75" s="16" t="str">
        <f>Data!A75</f>
        <v>ST074</v>
      </c>
      <c r="B75" s="16" t="str">
        <f>Data!B75</f>
        <v>EduSpark</v>
      </c>
      <c r="C75" s="16" t="str">
        <f>Data!C75</f>
        <v>EdTech</v>
      </c>
      <c r="D75" s="16">
        <f>AVERAGE(Data!L75:Q75)</f>
        <v>5.833333333333333</v>
      </c>
      <c r="E75" s="16">
        <f>ROUND((0.4*Data!T75+0.35*(10-Data!R75)+0.25*D75),1)</f>
        <v>4.2</v>
      </c>
      <c r="F75" s="16">
        <f>ROUND((0.4*Data!T75+0.35*E75+0.25*MIN(10,Data!G75/65)),1)</f>
        <v>4</v>
      </c>
      <c r="G75" s="16">
        <f>ROUND(AVERAGE(Data!M75,Data!N75,Data!O75),1)</f>
        <v>6.7</v>
      </c>
      <c r="H75">
        <f t="shared" si="2"/>
        <v>4.00075</v>
      </c>
    </row>
    <row r="76" spans="1:8" ht="15" customHeight="1" x14ac:dyDescent="0.3">
      <c r="A76" s="16" t="str">
        <f>Data!A76</f>
        <v>ST075</v>
      </c>
      <c r="B76" s="16" t="str">
        <f>Data!B76</f>
        <v>TripNova</v>
      </c>
      <c r="C76" s="16" t="str">
        <f>Data!C76</f>
        <v>TravelTech</v>
      </c>
      <c r="D76" s="16">
        <f>AVERAGE(Data!L76:Q76)</f>
        <v>4.166666666666667</v>
      </c>
      <c r="E76" s="16">
        <f>ROUND((0.4*Data!T76+0.35*(10-Data!R76)+0.25*D76),1)</f>
        <v>4.8</v>
      </c>
      <c r="F76" s="16">
        <f>ROUND((0.4*Data!T76+0.35*E76+0.25*MIN(10,Data!G76/65)),1)</f>
        <v>5</v>
      </c>
      <c r="G76" s="16">
        <f>ROUND(AVERAGE(Data!M76,Data!N76,Data!O76),1)</f>
        <v>4.7</v>
      </c>
      <c r="H76">
        <f t="shared" si="2"/>
        <v>5.0007599999999996</v>
      </c>
    </row>
    <row r="77" spans="1:8" ht="15" customHeight="1" x14ac:dyDescent="0.3">
      <c r="A77" s="16" t="str">
        <f>Data!A77</f>
        <v>ST076</v>
      </c>
      <c r="B77" s="16" t="str">
        <f>Data!B77</f>
        <v>SkillRoot</v>
      </c>
      <c r="C77" s="16" t="str">
        <f>Data!C77</f>
        <v>EdTech</v>
      </c>
      <c r="D77" s="16">
        <f>AVERAGE(Data!L77:Q77)</f>
        <v>4.333333333333333</v>
      </c>
      <c r="E77" s="16">
        <f>ROUND((0.4*Data!T77+0.35*(10-Data!R77)+0.25*D77),1)</f>
        <v>3.3</v>
      </c>
      <c r="F77" s="16">
        <f>ROUND((0.4*Data!T77+0.35*E77+0.25*MIN(10,Data!G77/65)),1)</f>
        <v>3.3</v>
      </c>
      <c r="G77" s="16">
        <f>ROUND(AVERAGE(Data!M77,Data!N77,Data!O77),1)</f>
        <v>5</v>
      </c>
      <c r="H77">
        <f t="shared" si="2"/>
        <v>3.30077</v>
      </c>
    </row>
    <row r="78" spans="1:8" ht="15" customHeight="1" x14ac:dyDescent="0.3">
      <c r="A78" s="16" t="str">
        <f>Data!A78</f>
        <v>ST077</v>
      </c>
      <c r="B78" s="16" t="str">
        <f>Data!B78</f>
        <v>CloudNest 80</v>
      </c>
      <c r="C78" s="16" t="str">
        <f>Data!C78</f>
        <v>SaaS / Enterprise Software</v>
      </c>
      <c r="D78" s="16">
        <f>AVERAGE(Data!L78:Q78)</f>
        <v>4.666666666666667</v>
      </c>
      <c r="E78" s="16">
        <f>ROUND((0.4*Data!T78+0.35*(10-Data!R78)+0.25*D78),1)</f>
        <v>5.3</v>
      </c>
      <c r="F78" s="16">
        <f>ROUND((0.4*Data!T78+0.35*E78+0.25*MIN(10,Data!G78/65)),1)</f>
        <v>4.8</v>
      </c>
      <c r="G78" s="16">
        <f>ROUND(AVERAGE(Data!M78,Data!N78,Data!O78),1)</f>
        <v>6.7</v>
      </c>
      <c r="H78">
        <f t="shared" si="2"/>
        <v>4.8007799999999996</v>
      </c>
    </row>
    <row r="79" spans="1:8" ht="15" customHeight="1" x14ac:dyDescent="0.3">
      <c r="A79" s="16" t="str">
        <f>Data!A79</f>
        <v>ST078</v>
      </c>
      <c r="B79" s="16" t="str">
        <f>Data!B79</f>
        <v>FreightRoot</v>
      </c>
      <c r="C79" s="16" t="str">
        <f>Data!C79</f>
        <v>Logistics &amp; Supply Chain</v>
      </c>
      <c r="D79" s="16">
        <f>AVERAGE(Data!L79:Q79)</f>
        <v>5</v>
      </c>
      <c r="E79" s="16">
        <f>ROUND((0.4*Data!T79+0.35*(10-Data!R79)+0.25*D79),1)</f>
        <v>3.2</v>
      </c>
      <c r="F79" s="16">
        <f>ROUND((0.4*Data!T79+0.35*E79+0.25*MIN(10,Data!G79/65)),1)</f>
        <v>2.7</v>
      </c>
      <c r="G79" s="16">
        <f>ROUND(AVERAGE(Data!M79,Data!N79,Data!O79),1)</f>
        <v>5.7</v>
      </c>
      <c r="H79">
        <f t="shared" si="2"/>
        <v>2.70079</v>
      </c>
    </row>
    <row r="80" spans="1:8" ht="15" customHeight="1" x14ac:dyDescent="0.3">
      <c r="A80" s="16" t="str">
        <f>Data!A80</f>
        <v>ST079</v>
      </c>
      <c r="B80" s="16" t="str">
        <f>Data!B80</f>
        <v>FreightRoot 83</v>
      </c>
      <c r="C80" s="16" t="str">
        <f>Data!C80</f>
        <v>Logistics &amp; Supply Chain</v>
      </c>
      <c r="D80" s="16">
        <f>AVERAGE(Data!L80:Q80)</f>
        <v>6</v>
      </c>
      <c r="E80" s="16">
        <f>ROUND((0.4*Data!T80+0.35*(10-Data!R80)+0.25*D80),1)</f>
        <v>4.5</v>
      </c>
      <c r="F80" s="16">
        <f>ROUND((0.4*Data!T80+0.35*E80+0.25*MIN(10,Data!G80/65)),1)</f>
        <v>3.2</v>
      </c>
      <c r="G80" s="16">
        <f>ROUND(AVERAGE(Data!M80,Data!N80,Data!O80),1)</f>
        <v>6</v>
      </c>
      <c r="H80">
        <f t="shared" si="2"/>
        <v>3.2008000000000001</v>
      </c>
    </row>
    <row r="81" spans="1:8" ht="15" customHeight="1" x14ac:dyDescent="0.3">
      <c r="A81" s="16" t="str">
        <f>Data!A81</f>
        <v>ST080</v>
      </c>
      <c r="B81" s="16" t="str">
        <f>Data!B81</f>
        <v>SunVolt</v>
      </c>
      <c r="C81" s="16" t="str">
        <f>Data!C81</f>
        <v>CleanTech/EV</v>
      </c>
      <c r="D81" s="16">
        <f>AVERAGE(Data!L81:Q81)</f>
        <v>6.166666666666667</v>
      </c>
      <c r="E81" s="16">
        <f>ROUND((0.4*Data!T81+0.35*(10-Data!R81)+0.25*D81),1)</f>
        <v>3.4</v>
      </c>
      <c r="F81" s="16">
        <f>ROUND((0.4*Data!T81+0.35*E81+0.25*MIN(10,Data!G81/65)),1)</f>
        <v>2.6</v>
      </c>
      <c r="G81" s="16">
        <f>ROUND(AVERAGE(Data!M81,Data!N81,Data!O81),1)</f>
        <v>5.3</v>
      </c>
      <c r="H81">
        <f t="shared" si="2"/>
        <v>2.6008100000000001</v>
      </c>
    </row>
    <row r="82" spans="1:8" ht="15" customHeight="1" x14ac:dyDescent="0.3">
      <c r="A82" s="16" t="str">
        <f>Data!A82</f>
        <v>ST081</v>
      </c>
      <c r="B82" s="16" t="str">
        <f>Data!B82</f>
        <v>WellRoot 38</v>
      </c>
      <c r="C82" s="16" t="str">
        <f>Data!C82</f>
        <v>HealthTech</v>
      </c>
      <c r="D82" s="16">
        <f>AVERAGE(Data!L82:Q82)</f>
        <v>6.5</v>
      </c>
      <c r="E82" s="16">
        <f>ROUND((0.4*Data!T82+0.35*(10-Data!R82)+0.25*D82),1)</f>
        <v>4.7</v>
      </c>
      <c r="F82" s="16">
        <f>ROUND((0.4*Data!T82+0.35*E82+0.25*MIN(10,Data!G82/65)),1)</f>
        <v>4.9000000000000004</v>
      </c>
      <c r="G82" s="16">
        <f>ROUND(AVERAGE(Data!M82,Data!N82,Data!O82),1)</f>
        <v>7</v>
      </c>
      <c r="H82">
        <f t="shared" si="2"/>
        <v>4.9008200000000004</v>
      </c>
    </row>
    <row r="83" spans="1:8" ht="15" customHeight="1" x14ac:dyDescent="0.3">
      <c r="A83" s="16" t="str">
        <f>Data!A83</f>
        <v>ST082</v>
      </c>
      <c r="B83" s="16" t="str">
        <f>Data!B83</f>
        <v>FreshBite Networks</v>
      </c>
      <c r="C83" s="16" t="str">
        <f>Data!C83</f>
        <v>FoodTech</v>
      </c>
      <c r="D83" s="16">
        <f>AVERAGE(Data!L83:Q83)</f>
        <v>4.333333333333333</v>
      </c>
      <c r="E83" s="16">
        <f>ROUND((0.4*Data!T83+0.35*(10-Data!R83)+0.25*D83),1)</f>
        <v>3.8</v>
      </c>
      <c r="F83" s="16">
        <f>ROUND((0.4*Data!T83+0.35*E83+0.25*MIN(10,Data!G83/65)),1)</f>
        <v>5.4</v>
      </c>
      <c r="G83" s="16">
        <f>ROUND(AVERAGE(Data!M83,Data!N83,Data!O83),1)</f>
        <v>4.7</v>
      </c>
      <c r="H83">
        <f t="shared" si="2"/>
        <v>5.40083</v>
      </c>
    </row>
    <row r="84" spans="1:8" ht="15" customHeight="1" x14ac:dyDescent="0.3">
      <c r="A84" s="16" t="str">
        <f>Data!A84</f>
        <v>ST083</v>
      </c>
      <c r="B84" s="16" t="str">
        <f>Data!B84</f>
        <v>EcoVolt Networks</v>
      </c>
      <c r="C84" s="16" t="str">
        <f>Data!C84</f>
        <v>CleanTech/EV</v>
      </c>
      <c r="D84" s="16">
        <f>AVERAGE(Data!L84:Q84)</f>
        <v>7.333333333333333</v>
      </c>
      <c r="E84" s="16">
        <f>ROUND((0.4*Data!T84+0.35*(10-Data!R84)+0.25*D84),1)</f>
        <v>6.1</v>
      </c>
      <c r="F84" s="16">
        <f>ROUND((0.4*Data!T84+0.35*E84+0.25*MIN(10,Data!G84/65)),1)</f>
        <v>6.9</v>
      </c>
      <c r="G84" s="16">
        <f>ROUND(AVERAGE(Data!M84,Data!N84,Data!O84),1)</f>
        <v>7.7</v>
      </c>
      <c r="H84">
        <f t="shared" si="2"/>
        <v>6.9008400000000005</v>
      </c>
    </row>
    <row r="85" spans="1:8" ht="15" customHeight="1" x14ac:dyDescent="0.3">
      <c r="A85" s="16" t="str">
        <f>Data!A85</f>
        <v>ST084</v>
      </c>
      <c r="B85" s="16" t="str">
        <f>Data!B85</f>
        <v>SpaceMesh 79</v>
      </c>
      <c r="C85" s="16" t="str">
        <f>Data!C85</f>
        <v>PropTech</v>
      </c>
      <c r="D85" s="16">
        <f>AVERAGE(Data!L85:Q85)</f>
        <v>5.5</v>
      </c>
      <c r="E85" s="16">
        <f>ROUND((0.4*Data!T85+0.35*(10-Data!R85)+0.25*D85),1)</f>
        <v>5.9</v>
      </c>
      <c r="F85" s="16">
        <f>ROUND((0.4*Data!T85+0.35*E85+0.25*MIN(10,Data!G85/65)),1)</f>
        <v>5.4</v>
      </c>
      <c r="G85" s="16">
        <f>ROUND(AVERAGE(Data!M85,Data!N85,Data!O85),1)</f>
        <v>5.7</v>
      </c>
      <c r="H85">
        <f t="shared" si="2"/>
        <v>5.4008500000000002</v>
      </c>
    </row>
    <row r="86" spans="1:8" ht="15" customHeight="1" x14ac:dyDescent="0.3">
      <c r="A86" s="16" t="str">
        <f>Data!A86</f>
        <v>ST085</v>
      </c>
      <c r="B86" s="16" t="str">
        <f>Data!B86</f>
        <v>MediNest Solutions</v>
      </c>
      <c r="C86" s="16" t="str">
        <f>Data!C86</f>
        <v>HealthTech</v>
      </c>
      <c r="D86" s="16">
        <f>AVERAGE(Data!L86:Q86)</f>
        <v>5.833333333333333</v>
      </c>
      <c r="E86" s="16">
        <f>ROUND((0.4*Data!T86+0.35*(10-Data!R86)+0.25*D86),1)</f>
        <v>5.3</v>
      </c>
      <c r="F86" s="16">
        <f>ROUND((0.4*Data!T86+0.35*E86+0.25*MIN(10,Data!G86/65)),1)</f>
        <v>6.2</v>
      </c>
      <c r="G86" s="16">
        <f>ROUND(AVERAGE(Data!M86,Data!N86,Data!O86),1)</f>
        <v>6.3</v>
      </c>
      <c r="H86">
        <f t="shared" si="2"/>
        <v>6.2008600000000005</v>
      </c>
    </row>
    <row r="87" spans="1:8" ht="15" customHeight="1" x14ac:dyDescent="0.3">
      <c r="A87" s="16" t="str">
        <f>Data!A87</f>
        <v>ST086</v>
      </c>
      <c r="B87" s="16" t="str">
        <f>Data!B87</f>
        <v>FreshBite 40</v>
      </c>
      <c r="C87" s="16" t="str">
        <f>Data!C87</f>
        <v>FoodTech</v>
      </c>
      <c r="D87" s="16">
        <f>AVERAGE(Data!L87:Q87)</f>
        <v>4</v>
      </c>
      <c r="E87" s="16">
        <f>ROUND((0.4*Data!T87+0.35*(10-Data!R87)+0.25*D87),1)</f>
        <v>4.0999999999999996</v>
      </c>
      <c r="F87" s="16">
        <f>ROUND((0.4*Data!T87+0.35*E87+0.25*MIN(10,Data!G87/65)),1)</f>
        <v>4.7</v>
      </c>
      <c r="G87" s="16">
        <f>ROUND(AVERAGE(Data!M87,Data!N87,Data!O87),1)</f>
        <v>5</v>
      </c>
      <c r="H87">
        <f t="shared" si="2"/>
        <v>4.7008700000000001</v>
      </c>
    </row>
    <row r="88" spans="1:8" ht="15" customHeight="1" x14ac:dyDescent="0.3">
      <c r="A88" s="16" t="str">
        <f>Data!A88</f>
        <v>ST087</v>
      </c>
      <c r="B88" s="16" t="str">
        <f>Data!B88</f>
        <v>MindMesh Networks</v>
      </c>
      <c r="C88" s="16" t="str">
        <f>Data!C88</f>
        <v>AI/ML</v>
      </c>
      <c r="D88" s="16">
        <f>AVERAGE(Data!L88:Q88)</f>
        <v>5.5</v>
      </c>
      <c r="E88" s="16">
        <f>ROUND((0.4*Data!T88+0.35*(10-Data!R88)+0.25*D88),1)</f>
        <v>5</v>
      </c>
      <c r="F88" s="16">
        <f>ROUND((0.4*Data!T88+0.35*E88+0.25*MIN(10,Data!G88/65)),1)</f>
        <v>7.4</v>
      </c>
      <c r="G88" s="16">
        <f>ROUND(AVERAGE(Data!M88,Data!N88,Data!O88),1)</f>
        <v>7.7</v>
      </c>
      <c r="H88">
        <f t="shared" si="2"/>
        <v>7.4008800000000008</v>
      </c>
    </row>
    <row r="89" spans="1:8" ht="15" customHeight="1" x14ac:dyDescent="0.3">
      <c r="A89" s="16" t="str">
        <f>Data!A89</f>
        <v>ST088</v>
      </c>
      <c r="B89" s="16" t="str">
        <f>Data!B89</f>
        <v>WorkNova Technologies</v>
      </c>
      <c r="C89" s="16" t="str">
        <f>Data!C89</f>
        <v>SaaS / Enterprise Software</v>
      </c>
      <c r="D89" s="16">
        <f>AVERAGE(Data!L89:Q89)</f>
        <v>5.166666666666667</v>
      </c>
      <c r="E89" s="16">
        <f>ROUND((0.4*Data!T89+0.35*(10-Data!R89)+0.25*D89),1)</f>
        <v>4.8</v>
      </c>
      <c r="F89" s="16">
        <f>ROUND((0.4*Data!T89+0.35*E89+0.25*MIN(10,Data!G89/65)),1)</f>
        <v>5.3</v>
      </c>
      <c r="G89" s="16">
        <f>ROUND(AVERAGE(Data!M89,Data!N89,Data!O89),1)</f>
        <v>7</v>
      </c>
      <c r="H89">
        <f t="shared" si="2"/>
        <v>5.3008899999999999</v>
      </c>
    </row>
    <row r="90" spans="1:8" ht="15" customHeight="1" x14ac:dyDescent="0.3">
      <c r="A90" s="16" t="str">
        <f>Data!A90</f>
        <v>ST089</v>
      </c>
      <c r="B90" s="16" t="str">
        <f>Data!B90</f>
        <v>CarePulse Labs</v>
      </c>
      <c r="C90" s="16" t="str">
        <f>Data!C90</f>
        <v>HealthTech</v>
      </c>
      <c r="D90" s="16">
        <f>AVERAGE(Data!L90:Q90)</f>
        <v>6.333333333333333</v>
      </c>
      <c r="E90" s="16">
        <f>ROUND((0.4*Data!T90+0.35*(10-Data!R90)+0.25*D90),1)</f>
        <v>6.9</v>
      </c>
      <c r="F90" s="16">
        <f>ROUND((0.4*Data!T90+0.35*E90+0.25*MIN(10,Data!G90/65)),1)</f>
        <v>7.3</v>
      </c>
      <c r="G90" s="16">
        <f>ROUND(AVERAGE(Data!M90,Data!N90,Data!O90),1)</f>
        <v>6.7</v>
      </c>
      <c r="H90">
        <f t="shared" si="2"/>
        <v>7.3008999999999995</v>
      </c>
    </row>
    <row r="91" spans="1:8" ht="15" customHeight="1" x14ac:dyDescent="0.3">
      <c r="A91" s="16" t="str">
        <f>Data!A91</f>
        <v>ST090</v>
      </c>
      <c r="B91" s="16" t="str">
        <f>Data!B91</f>
        <v>RoamNest</v>
      </c>
      <c r="C91" s="16" t="str">
        <f>Data!C91</f>
        <v>TravelTech</v>
      </c>
      <c r="D91" s="16">
        <f>AVERAGE(Data!L91:Q91)</f>
        <v>4.833333333333333</v>
      </c>
      <c r="E91" s="16">
        <f>ROUND((0.4*Data!T91+0.35*(10-Data!R91)+0.25*D91),1)</f>
        <v>4.3</v>
      </c>
      <c r="F91" s="16">
        <f>ROUND((0.4*Data!T91+0.35*E91+0.25*MIN(10,Data!G91/65)),1)</f>
        <v>4.3</v>
      </c>
      <c r="G91" s="16">
        <f>ROUND(AVERAGE(Data!M91,Data!N91,Data!O91),1)</f>
        <v>6</v>
      </c>
      <c r="H91">
        <f t="shared" si="2"/>
        <v>4.30091</v>
      </c>
    </row>
    <row r="92" spans="1:8" ht="15" customHeight="1" x14ac:dyDescent="0.3">
      <c r="A92" s="16" t="str">
        <f>Data!A92</f>
        <v>ST091</v>
      </c>
      <c r="B92" s="16" t="str">
        <f>Data!B92</f>
        <v>CropSense</v>
      </c>
      <c r="C92" s="16" t="str">
        <f>Data!C92</f>
        <v>AgriTech</v>
      </c>
      <c r="D92" s="16">
        <f>AVERAGE(Data!L92:Q92)</f>
        <v>4.666666666666667</v>
      </c>
      <c r="E92" s="16">
        <f>ROUND((0.4*Data!T92+0.35*(10-Data!R92)+0.25*D92),1)</f>
        <v>4.2</v>
      </c>
      <c r="F92" s="16">
        <f>ROUND((0.4*Data!T92+0.35*E92+0.25*MIN(10,Data!G92/65)),1)</f>
        <v>4.4000000000000004</v>
      </c>
      <c r="G92" s="16">
        <f>ROUND(AVERAGE(Data!M92,Data!N92,Data!O92),1)</f>
        <v>4.7</v>
      </c>
      <c r="H92">
        <f t="shared" si="2"/>
        <v>4.4009200000000002</v>
      </c>
    </row>
    <row r="93" spans="1:8" ht="15" customHeight="1" x14ac:dyDescent="0.3">
      <c r="A93" s="16" t="str">
        <f>Data!A93</f>
        <v>ST092</v>
      </c>
      <c r="B93" s="16" t="str">
        <f>Data!B93</f>
        <v>CropSense 26</v>
      </c>
      <c r="C93" s="16" t="str">
        <f>Data!C93</f>
        <v>AgriTech</v>
      </c>
      <c r="D93" s="16">
        <f>AVERAGE(Data!L93:Q93)</f>
        <v>5.833333333333333</v>
      </c>
      <c r="E93" s="16">
        <f>ROUND((0.4*Data!T93+0.35*(10-Data!R93)+0.25*D93),1)</f>
        <v>5.2</v>
      </c>
      <c r="F93" s="16">
        <f>ROUND((0.4*Data!T93+0.35*E93+0.25*MIN(10,Data!G93/65)),1)</f>
        <v>4.5999999999999996</v>
      </c>
      <c r="G93" s="16">
        <f>ROUND(AVERAGE(Data!M93,Data!N93,Data!O93),1)</f>
        <v>5</v>
      </c>
      <c r="H93">
        <f t="shared" si="2"/>
        <v>4.60093</v>
      </c>
    </row>
    <row r="94" spans="1:8" ht="15" customHeight="1" x14ac:dyDescent="0.3">
      <c r="A94" s="16" t="str">
        <f>Data!A94</f>
        <v>ST093</v>
      </c>
      <c r="B94" s="16" t="str">
        <f>Data!B94</f>
        <v>SafeNest Solutions</v>
      </c>
      <c r="C94" s="16" t="str">
        <f>Data!C94</f>
        <v>InsurTech</v>
      </c>
      <c r="D94" s="16">
        <f>AVERAGE(Data!L94:Q94)</f>
        <v>5.666666666666667</v>
      </c>
      <c r="E94" s="16">
        <f>ROUND((0.4*Data!T94+0.35*(10-Data!R94)+0.25*D94),1)</f>
        <v>6</v>
      </c>
      <c r="F94" s="16">
        <f>ROUND((0.4*Data!T94+0.35*E94+0.25*MIN(10,Data!G94/65)),1)</f>
        <v>7.1</v>
      </c>
      <c r="G94" s="16">
        <f>ROUND(AVERAGE(Data!M94,Data!N94,Data!O94),1)</f>
        <v>6</v>
      </c>
      <c r="H94">
        <f t="shared" si="2"/>
        <v>7.1009399999999996</v>
      </c>
    </row>
    <row r="95" spans="1:8" ht="15" customHeight="1" x14ac:dyDescent="0.3">
      <c r="A95" s="16" t="str">
        <f>Data!A95</f>
        <v>ST094</v>
      </c>
      <c r="B95" s="16" t="str">
        <f>Data!B95</f>
        <v>WorkNova Labs</v>
      </c>
      <c r="C95" s="16" t="str">
        <f>Data!C95</f>
        <v>SaaS / Enterprise Software</v>
      </c>
      <c r="D95" s="16">
        <f>AVERAGE(Data!L95:Q95)</f>
        <v>4</v>
      </c>
      <c r="E95" s="16">
        <f>ROUND((0.4*Data!T95+0.35*(10-Data!R95)+0.25*D95),1)</f>
        <v>5.6</v>
      </c>
      <c r="F95" s="16">
        <f>ROUND((0.4*Data!T95+0.35*E95+0.25*MIN(10,Data!G95/65)),1)</f>
        <v>7.2</v>
      </c>
      <c r="G95" s="16">
        <f>ROUND(AVERAGE(Data!M95,Data!N95,Data!O95),1)</f>
        <v>5.3</v>
      </c>
      <c r="H95">
        <f t="shared" si="2"/>
        <v>7.2009499999999997</v>
      </c>
    </row>
    <row r="96" spans="1:8" ht="15" customHeight="1" x14ac:dyDescent="0.3">
      <c r="A96" s="16" t="str">
        <f>Data!A96</f>
        <v>ST095</v>
      </c>
      <c r="B96" s="16" t="str">
        <f>Data!B96</f>
        <v>WealthBee Labs</v>
      </c>
      <c r="C96" s="16" t="str">
        <f>Data!C96</f>
        <v>FinTech</v>
      </c>
      <c r="D96" s="16">
        <f>AVERAGE(Data!L96:Q96)</f>
        <v>6.333333333333333</v>
      </c>
      <c r="E96" s="16">
        <f>ROUND((0.4*Data!T96+0.35*(10-Data!R96)+0.25*D96),1)</f>
        <v>5.0999999999999996</v>
      </c>
      <c r="F96" s="16">
        <f>ROUND((0.4*Data!T96+0.35*E96+0.25*MIN(10,Data!G96/65)),1)</f>
        <v>5.6</v>
      </c>
      <c r="G96" s="16">
        <f>ROUND(AVERAGE(Data!M96,Data!N96,Data!O96),1)</f>
        <v>7</v>
      </c>
      <c r="H96">
        <f t="shared" si="2"/>
        <v>5.6009599999999997</v>
      </c>
    </row>
    <row r="97" spans="1:8" ht="15" customHeight="1" x14ac:dyDescent="0.3">
      <c r="A97" s="16" t="str">
        <f>Data!A97</f>
        <v>ST096</v>
      </c>
      <c r="B97" s="16" t="str">
        <f>Data!B97</f>
        <v>OpsRoot 78</v>
      </c>
      <c r="C97" s="16" t="str">
        <f>Data!C97</f>
        <v>SaaS / Enterprise Software</v>
      </c>
      <c r="D97" s="16">
        <f>AVERAGE(Data!L97:Q97)</f>
        <v>4.833333333333333</v>
      </c>
      <c r="E97" s="16">
        <f>ROUND((0.4*Data!T97+0.35*(10-Data!R97)+0.25*D97),1)</f>
        <v>5.5</v>
      </c>
      <c r="F97" s="16">
        <f>ROUND((0.4*Data!T97+0.35*E97+0.25*MIN(10,Data!G97/65)),1)</f>
        <v>7.1</v>
      </c>
      <c r="G97" s="16">
        <f>ROUND(AVERAGE(Data!M97,Data!N97,Data!O97),1)</f>
        <v>6.3</v>
      </c>
      <c r="H97">
        <f t="shared" si="2"/>
        <v>7.1009699999999993</v>
      </c>
    </row>
    <row r="98" spans="1:8" ht="15" customHeight="1" x14ac:dyDescent="0.3">
      <c r="A98" s="16" t="str">
        <f>Data!A98</f>
        <v>ST097</v>
      </c>
      <c r="B98" s="16" t="str">
        <f>Data!B98</f>
        <v>CoinTrail Technologies</v>
      </c>
      <c r="C98" s="16" t="str">
        <f>Data!C98</f>
        <v>FinTech</v>
      </c>
      <c r="D98" s="16">
        <f>AVERAGE(Data!L98:Q98)</f>
        <v>6.166666666666667</v>
      </c>
      <c r="E98" s="16">
        <f>ROUND((0.4*Data!T98+0.35*(10-Data!R98)+0.25*D98),1)</f>
        <v>4.3</v>
      </c>
      <c r="F98" s="16">
        <f>ROUND((0.4*Data!T98+0.35*E98+0.25*MIN(10,Data!G98/65)),1)</f>
        <v>5</v>
      </c>
      <c r="G98" s="16">
        <f>ROUND(AVERAGE(Data!M98,Data!N98,Data!O98),1)</f>
        <v>6.3</v>
      </c>
      <c r="H98">
        <f t="shared" si="2"/>
        <v>5.0009800000000002</v>
      </c>
    </row>
    <row r="99" spans="1:8" ht="15" customHeight="1" x14ac:dyDescent="0.3">
      <c r="A99" s="16" t="str">
        <f>Data!A99</f>
        <v>ST098</v>
      </c>
      <c r="B99" s="16" t="str">
        <f>Data!B99</f>
        <v>SpaceMesh 24</v>
      </c>
      <c r="C99" s="16" t="str">
        <f>Data!C99</f>
        <v>PropTech</v>
      </c>
      <c r="D99" s="16">
        <f>AVERAGE(Data!L99:Q99)</f>
        <v>6</v>
      </c>
      <c r="E99" s="16">
        <f>ROUND((0.4*Data!T99+0.35*(10-Data!R99)+0.25*D99),1)</f>
        <v>5.7</v>
      </c>
      <c r="F99" s="16">
        <f>ROUND((0.4*Data!T99+0.35*E99+0.25*MIN(10,Data!G99/65)),1)</f>
        <v>6.1</v>
      </c>
      <c r="G99" s="16">
        <f>ROUND(AVERAGE(Data!M99,Data!N99,Data!O99),1)</f>
        <v>6</v>
      </c>
      <c r="H99">
        <f t="shared" si="2"/>
        <v>6.1009899999999995</v>
      </c>
    </row>
    <row r="100" spans="1:8" ht="15" customHeight="1" x14ac:dyDescent="0.3">
      <c r="A100" s="16" t="str">
        <f>Data!A100</f>
        <v>ST099</v>
      </c>
      <c r="B100" s="16" t="str">
        <f>Data!B100</f>
        <v>UrbanRoot</v>
      </c>
      <c r="C100" s="16" t="str">
        <f>Data!C100</f>
        <v>PropTech</v>
      </c>
      <c r="D100" s="16">
        <f>AVERAGE(Data!L100:Q100)</f>
        <v>5.5</v>
      </c>
      <c r="E100" s="16">
        <f>ROUND((0.4*Data!T100+0.35*(10-Data!R100)+0.25*D100),1)</f>
        <v>4.8</v>
      </c>
      <c r="F100" s="16">
        <f>ROUND((0.4*Data!T100+0.35*E100+0.25*MIN(10,Data!G100/65)),1)</f>
        <v>6.4</v>
      </c>
      <c r="G100" s="16">
        <f>ROUND(AVERAGE(Data!M100,Data!N100,Data!O100),1)</f>
        <v>5</v>
      </c>
      <c r="H100">
        <f t="shared" si="2"/>
        <v>6.4010000000000007</v>
      </c>
    </row>
    <row r="101" spans="1:8" ht="15" customHeight="1" x14ac:dyDescent="0.3">
      <c r="A101" s="16" t="str">
        <f>Data!A101</f>
        <v>ST100</v>
      </c>
      <c r="B101" s="16" t="str">
        <f>Data!B101</f>
        <v>AgroVerve 58</v>
      </c>
      <c r="C101" s="16" t="str">
        <f>Data!C101</f>
        <v>AgriTech</v>
      </c>
      <c r="D101" s="16">
        <f>AVERAGE(Data!L101:Q101)</f>
        <v>5.333333333333333</v>
      </c>
      <c r="E101" s="16">
        <f>ROUND((0.4*Data!T101+0.35*(10-Data!R101)+0.25*D101),1)</f>
        <v>6.5</v>
      </c>
      <c r="F101" s="16">
        <f>ROUND((0.4*Data!T101+0.35*E101+0.25*MIN(10,Data!G101/65)),1)</f>
        <v>6.7</v>
      </c>
      <c r="G101" s="16">
        <f>ROUND(AVERAGE(Data!M101,Data!N101,Data!O101),1)</f>
        <v>4.7</v>
      </c>
      <c r="H101">
        <f t="shared" si="2"/>
        <v>6.7010100000000001</v>
      </c>
    </row>
  </sheetData>
  <autoFilter ref="A1:G1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tabSelected="1" zoomScaleNormal="100" workbookViewId="0">
      <selection activeCell="F14" sqref="F14"/>
    </sheetView>
  </sheetViews>
  <sheetFormatPr defaultColWidth="8.6640625" defaultRowHeight="14.4" x14ac:dyDescent="0.3"/>
  <cols>
    <col min="1" max="1" width="22.88671875" bestFit="1" customWidth="1"/>
    <col min="2" max="10" width="16" customWidth="1"/>
    <col min="11" max="11" width="21.77734375" bestFit="1" customWidth="1"/>
    <col min="12" max="15" width="16" customWidth="1"/>
  </cols>
  <sheetData>
    <row r="1" spans="1:15" ht="15" customHeight="1" x14ac:dyDescent="0.3">
      <c r="A1" s="15" t="s">
        <v>17</v>
      </c>
      <c r="B1" s="15" t="s">
        <v>440</v>
      </c>
      <c r="D1" s="15" t="s">
        <v>33</v>
      </c>
      <c r="E1" s="15" t="s">
        <v>440</v>
      </c>
      <c r="G1" s="15" t="s">
        <v>441</v>
      </c>
      <c r="H1" s="15" t="s">
        <v>442</v>
      </c>
      <c r="J1" s="15" t="s">
        <v>443</v>
      </c>
      <c r="K1" s="15" t="s">
        <v>16</v>
      </c>
      <c r="L1" s="15" t="s">
        <v>444</v>
      </c>
      <c r="N1" s="15" t="s">
        <v>20</v>
      </c>
      <c r="O1" s="15" t="s">
        <v>445</v>
      </c>
    </row>
    <row r="2" spans="1:15" ht="15" customHeight="1" x14ac:dyDescent="0.3">
      <c r="A2" t="s">
        <v>48</v>
      </c>
      <c r="B2">
        <f>COUNTIF(Data!$C$2:$C$101,A2)</f>
        <v>8</v>
      </c>
      <c r="D2" t="s">
        <v>110</v>
      </c>
      <c r="E2">
        <f>COUNTIF(Data!$S$2:$S$101,D2)</f>
        <v>19</v>
      </c>
      <c r="G2" t="s">
        <v>446</v>
      </c>
      <c r="H2">
        <f>ROUND(AVERAGE(Data!$L$2:$L$101),2)</f>
        <v>4.66</v>
      </c>
      <c r="J2">
        <v>1</v>
      </c>
      <c r="K2" t="str">
        <f>INDEX(Scorecard!$B$2:$B$101,MATCH(L2,Scorecard!$H$2:$H$101,0))</f>
        <v>GuardMesh Technologies</v>
      </c>
      <c r="L2">
        <f>LARGE(Scorecard!$H$2:$H$101,1)</f>
        <v>8.5004000000000008</v>
      </c>
      <c r="N2" t="s">
        <v>145</v>
      </c>
      <c r="O2">
        <f>IFERROR(ROUND(AVERAGEIF(Data!$F$2:$F$101,N2,Data!$G$2:$G$101),1),0)</f>
        <v>420.2</v>
      </c>
    </row>
    <row r="3" spans="1:15" ht="15" customHeight="1" x14ac:dyDescent="0.3">
      <c r="A3" t="s">
        <v>113</v>
      </c>
      <c r="B3">
        <f>COUNTIF(Data!$C$2:$C$101,A3)</f>
        <v>5</v>
      </c>
      <c r="D3" t="s">
        <v>45</v>
      </c>
      <c r="E3">
        <f>COUNTIF(Data!$S$2:$S$101,D3)</f>
        <v>56</v>
      </c>
      <c r="G3" t="s">
        <v>447</v>
      </c>
      <c r="H3">
        <f>ROUND(AVERAGE(Data!$M$2:$M$101),2)</f>
        <v>5.5</v>
      </c>
      <c r="J3">
        <v>2</v>
      </c>
      <c r="K3" t="str">
        <f>INDEX(Scorecard!$B$2:$B$101,MATCH(L3,Scorecard!$H$2:$H$101,0))</f>
        <v>OpsRoot</v>
      </c>
      <c r="L3">
        <f>LARGE(Scorecard!$H$2:$H$101,2)</f>
        <v>8.200289999999999</v>
      </c>
      <c r="N3" t="s">
        <v>77</v>
      </c>
      <c r="O3">
        <f>IFERROR(ROUND(AVERAGEIF(Data!$F$2:$F$101,N3,Data!$G$2:$G$101),1),0)</f>
        <v>293.60000000000002</v>
      </c>
    </row>
    <row r="4" spans="1:15" ht="15" customHeight="1" x14ac:dyDescent="0.3">
      <c r="A4" t="s">
        <v>179</v>
      </c>
      <c r="B4">
        <f>COUNTIF(Data!$C$2:$C$101,A4)</f>
        <v>7</v>
      </c>
      <c r="D4" t="s">
        <v>102</v>
      </c>
      <c r="E4">
        <f>COUNTIF(Data!$S$2:$S$101,D4)</f>
        <v>25</v>
      </c>
      <c r="G4" t="s">
        <v>448</v>
      </c>
      <c r="H4">
        <f>ROUND(AVERAGE(Data!$N$2:$N$101),2)</f>
        <v>5.59</v>
      </c>
      <c r="J4">
        <v>3</v>
      </c>
      <c r="K4" t="str">
        <f>INDEX(Scorecard!$B$2:$B$101,MATCH(L4,Scorecard!$H$2:$H$101,0))</f>
        <v>MartRoot 69</v>
      </c>
      <c r="L4">
        <f>LARGE(Scorecard!$H$2:$H$101,3)</f>
        <v>7.6006499999999999</v>
      </c>
      <c r="N4" t="s">
        <v>40</v>
      </c>
      <c r="O4">
        <f>IFERROR(ROUND(AVERAGEIF(Data!$F$2:$F$101,N4,Data!$G$2:$G$101),1),0)</f>
        <v>297.7</v>
      </c>
    </row>
    <row r="5" spans="1:15" ht="15" customHeight="1" x14ac:dyDescent="0.3">
      <c r="A5" t="s">
        <v>186</v>
      </c>
      <c r="B5">
        <f>COUNTIF(Data!$C$2:$C$101,A5)</f>
        <v>7</v>
      </c>
      <c r="G5" t="s">
        <v>449</v>
      </c>
      <c r="H5">
        <f>ROUND(AVERAGE(Data!$O$2:$O$101),2)</f>
        <v>6.67</v>
      </c>
      <c r="J5">
        <v>4</v>
      </c>
      <c r="K5" t="str">
        <f>INDEX(Scorecard!$B$2:$B$101,MATCH(L5,Scorecard!$H$2:$H$101,0))</f>
        <v>MindMesh Networks</v>
      </c>
      <c r="L5">
        <f>LARGE(Scorecard!$H$2:$H$101,4)</f>
        <v>7.4008800000000008</v>
      </c>
      <c r="N5" t="s">
        <v>224</v>
      </c>
      <c r="O5">
        <f>IFERROR(ROUND(AVERAGEIF(Data!$F$2:$F$101,N5,Data!$G$2:$G$101),1),0)</f>
        <v>424.3</v>
      </c>
    </row>
    <row r="6" spans="1:15" ht="15" customHeight="1" x14ac:dyDescent="0.3">
      <c r="A6" t="s">
        <v>82</v>
      </c>
      <c r="B6">
        <f>COUNTIF(Data!$C$2:$C$101,A6)</f>
        <v>6</v>
      </c>
      <c r="G6" t="s">
        <v>450</v>
      </c>
      <c r="H6">
        <f>ROUND(AVERAGE(Data!$P$2:$P$101),2)</f>
        <v>5.74</v>
      </c>
      <c r="J6">
        <v>5</v>
      </c>
      <c r="K6" t="str">
        <f>INDEX(Scorecard!$B$2:$B$101,MATCH(L6,Scorecard!$H$2:$H$101,0))</f>
        <v>JurisRoot</v>
      </c>
      <c r="L6">
        <f>LARGE(Scorecard!$H$2:$H$101,5)</f>
        <v>7.4001800000000006</v>
      </c>
      <c r="N6" t="s">
        <v>257</v>
      </c>
      <c r="O6">
        <f>IFERROR(ROUND(AVERAGEIF(Data!$F$2:$F$101,N6,Data!$G$2:$G$101),1),0)</f>
        <v>385.7</v>
      </c>
    </row>
    <row r="7" spans="1:15" ht="15" customHeight="1" x14ac:dyDescent="0.3">
      <c r="A7" t="s">
        <v>121</v>
      </c>
      <c r="B7">
        <f>COUNTIF(Data!$C$2:$C$101,A7)</f>
        <v>5</v>
      </c>
      <c r="G7" t="s">
        <v>451</v>
      </c>
      <c r="H7">
        <f>ROUND(AVERAGE(Data!$Q$2:$Q$101),2)</f>
        <v>3.94</v>
      </c>
      <c r="J7">
        <v>6</v>
      </c>
      <c r="K7" t="str">
        <f>INDEX(Scorecard!$B$2:$B$101,MATCH(L7,Scorecard!$H$2:$H$101,0))</f>
        <v>CarePulse Labs</v>
      </c>
      <c r="L7">
        <f>LARGE(Scorecard!$H$2:$H$101,6)</f>
        <v>7.3008999999999995</v>
      </c>
      <c r="N7" t="s">
        <v>428</v>
      </c>
      <c r="O7">
        <f>IFERROR(ROUND(AVERAGEIF(Data!$F$2:$F$101,N7,Data!$G$2:$G$101),1),0)</f>
        <v>440.9</v>
      </c>
    </row>
    <row r="8" spans="1:15" ht="15" customHeight="1" x14ac:dyDescent="0.3">
      <c r="A8" t="s">
        <v>37</v>
      </c>
      <c r="B8">
        <f>COUNTIF(Data!$C$2:$C$101,A8)</f>
        <v>7</v>
      </c>
      <c r="J8">
        <v>7</v>
      </c>
      <c r="K8" t="str">
        <f>INDEX(Scorecard!$B$2:$B$101,MATCH(L8,Scorecard!$H$2:$H$101,0))</f>
        <v>WorkNova Labs</v>
      </c>
      <c r="L8">
        <f>LARGE(Scorecard!$H$2:$H$101,7)</f>
        <v>7.2009499999999997</v>
      </c>
      <c r="N8" t="s">
        <v>67</v>
      </c>
      <c r="O8">
        <f>IFERROR(ROUND(AVERAGEIF(Data!$F$2:$F$101,N8,Data!$G$2:$G$101),1),0)</f>
        <v>257.39999999999998</v>
      </c>
    </row>
    <row r="9" spans="1:15" ht="15" customHeight="1" x14ac:dyDescent="0.3">
      <c r="A9" t="s">
        <v>142</v>
      </c>
      <c r="B9">
        <f>COUNTIF(Data!$C$2:$C$101,A9)</f>
        <v>8</v>
      </c>
      <c r="J9">
        <v>8</v>
      </c>
      <c r="K9" t="str">
        <f>INDEX(Scorecard!$B$2:$B$101,MATCH(L9,Scorecard!$H$2:$H$101,0))</f>
        <v>OpsRoot 78</v>
      </c>
      <c r="L9">
        <f>LARGE(Scorecard!$H$2:$H$101,8)</f>
        <v>7.1009699999999993</v>
      </c>
      <c r="N9" t="s">
        <v>116</v>
      </c>
      <c r="O9">
        <f>IFERROR(ROUND(AVERAGEIF(Data!$F$2:$F$101,N9,Data!$G$2:$G$101),1),0)</f>
        <v>420.4</v>
      </c>
    </row>
    <row r="10" spans="1:15" ht="15" customHeight="1" x14ac:dyDescent="0.3">
      <c r="A10" t="s">
        <v>210</v>
      </c>
      <c r="B10">
        <f>COUNTIF(Data!$C$2:$C$101,A10)</f>
        <v>7</v>
      </c>
      <c r="J10">
        <v>9</v>
      </c>
      <c r="K10" t="str">
        <f>INDEX(Scorecard!$B$2:$B$101,MATCH(L10,Scorecard!$H$2:$H$101,0))</f>
        <v>SafeNest Solutions</v>
      </c>
      <c r="L10">
        <f>LARGE(Scorecard!$H$2:$H$101,9)</f>
        <v>7.1009399999999996</v>
      </c>
      <c r="N10" t="s">
        <v>282</v>
      </c>
      <c r="O10">
        <f>IFERROR(ROUND(AVERAGEIF(Data!$F$2:$F$101,N10,Data!$G$2:$G$101),1),0)</f>
        <v>106.9</v>
      </c>
    </row>
    <row r="11" spans="1:15" ht="15" customHeight="1" x14ac:dyDescent="0.3">
      <c r="A11" t="s">
        <v>74</v>
      </c>
      <c r="B11">
        <f>COUNTIF(Data!$C$2:$C$101,A11)</f>
        <v>4</v>
      </c>
      <c r="J11">
        <v>10</v>
      </c>
      <c r="K11" t="str">
        <f>INDEX(Scorecard!$B$2:$B$101,MATCH(L11,Scorecard!$H$2:$H$101,0))</f>
        <v>WealthBee Networks</v>
      </c>
      <c r="L11">
        <f>LARGE(Scorecard!$H$2:$H$101,10)</f>
        <v>7.1004399999999999</v>
      </c>
      <c r="N11" t="s">
        <v>235</v>
      </c>
      <c r="O11">
        <f>IFERROR(ROUND(AVERAGEIF(Data!$F$2:$F$101,N11,Data!$G$2:$G$101),1),0)</f>
        <v>407.7</v>
      </c>
    </row>
    <row r="12" spans="1:15" ht="15" customHeight="1" x14ac:dyDescent="0.3">
      <c r="A12" t="s">
        <v>163</v>
      </c>
      <c r="B12">
        <f>COUNTIF(Data!$C$2:$C$101,A12)</f>
        <v>6</v>
      </c>
      <c r="N12" t="s">
        <v>92</v>
      </c>
      <c r="O12">
        <f>IFERROR(ROUND(AVERAGEIF(Data!$F$2:$F$101,N12,Data!$G$2:$G$101),1),0)</f>
        <v>226.6</v>
      </c>
    </row>
    <row r="13" spans="1:15" ht="15" customHeight="1" x14ac:dyDescent="0.3">
      <c r="A13" t="s">
        <v>350</v>
      </c>
      <c r="B13">
        <f>COUNTIF(Data!$C$2:$C$101,A13)</f>
        <v>4</v>
      </c>
      <c r="N13" t="s">
        <v>51</v>
      </c>
      <c r="O13">
        <f>IFERROR(ROUND(AVERAGEIF(Data!$F$2:$F$101,N13,Data!$G$2:$G$101),1),0)</f>
        <v>313.89999999999998</v>
      </c>
    </row>
    <row r="14" spans="1:15" ht="15" customHeight="1" x14ac:dyDescent="0.3">
      <c r="A14" t="s">
        <v>219</v>
      </c>
      <c r="B14">
        <f>COUNTIF(Data!$C$2:$C$101,A14)</f>
        <v>5</v>
      </c>
      <c r="N14" t="s">
        <v>124</v>
      </c>
      <c r="O14">
        <f>IFERROR(ROUND(AVERAGEIF(Data!$F$2:$F$101,N14,Data!$G$2:$G$101),1),0)</f>
        <v>278.3</v>
      </c>
    </row>
    <row r="15" spans="1:15" ht="15" customHeight="1" x14ac:dyDescent="0.3">
      <c r="A15" t="s">
        <v>105</v>
      </c>
      <c r="B15">
        <f>COUNTIF(Data!$C$2:$C$101,A15)</f>
        <v>7</v>
      </c>
      <c r="N15" t="s">
        <v>286</v>
      </c>
      <c r="O15">
        <f>IFERROR(ROUND(AVERAGEIF(Data!$F$2:$F$101,N15,Data!$G$2:$G$101),1),0)</f>
        <v>469.8</v>
      </c>
    </row>
    <row r="16" spans="1:15" ht="15" customHeight="1" x14ac:dyDescent="0.3">
      <c r="A16" t="s">
        <v>129</v>
      </c>
      <c r="B16">
        <f>COUNTIF(Data!$C$2:$C$101,A16)</f>
        <v>5</v>
      </c>
      <c r="N16" t="s">
        <v>193</v>
      </c>
      <c r="O16">
        <f>IFERROR(ROUND(AVERAGEIF(Data!$F$2:$F$101,N16,Data!$G$2:$G$101),1),0)</f>
        <v>327.8</v>
      </c>
    </row>
    <row r="17" spans="1:2" ht="15" customHeight="1" x14ac:dyDescent="0.3">
      <c r="A17" t="s">
        <v>64</v>
      </c>
      <c r="B17">
        <f>COUNTIF(Data!$C$2:$C$101,A17)</f>
        <v>4</v>
      </c>
    </row>
    <row r="18" spans="1:2" ht="15" customHeight="1" x14ac:dyDescent="0.3">
      <c r="A18" t="s">
        <v>89</v>
      </c>
      <c r="B18">
        <f>COUNTIF(Data!$C$2:$C$101,A18)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Scorecard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PAL</cp:lastModifiedBy>
  <cp:revision>1</cp:revision>
  <dcterms:created xsi:type="dcterms:W3CDTF">2026-06-17T10:25:42Z</dcterms:created>
  <dcterms:modified xsi:type="dcterms:W3CDTF">2026-06-17T16:07:14Z</dcterms:modified>
  <dc:language>en-US</dc:language>
</cp:coreProperties>
</file>